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Weap" sheetId="1" r:id="rId5"/>
  </sheets>
  <definedNames>
    <definedName hidden="1" localSheetId="0" name="_xlnm._FilterDatabase">SCIWeap!$A$1:$H$227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제작자 이름</t>
      </text>
    </comment>
    <comment authorId="0" ref="B1">
      <text>
        <t xml:space="preserve">링크 확인 : https://www.dropbox.com/scl/fo/lw1i20cgsm4edsvj3awn1/AP_ZhzG3LlpfFLbX309FbOU?dl=0&amp;e=1&amp;preview=UCS+v8.2.1+Full+List.xlsx&amp;rlkey=wa2onzo0difpew1nze6odztlp</t>
      </text>
    </comment>
    <comment authorId="0" ref="C1">
      <text>
        <t xml:space="preserve">이름 제작 방법 : (시그니처 네임)_(UCS)_(유니크 네임)_(복잡도)_(스탭)_(디자인 유무)_(번호).wav</t>
      </text>
    </comment>
    <comment authorId="0" ref="D1">
      <text>
        <t xml:space="preserve">파일 경로. 파일 우클릭 후 "경로로 복사" 후 앞 부분 지워서 붙여넣을 것</t>
      </text>
    </comment>
    <comment authorId="0" ref="F1">
      <text>
        <t xml:space="preserve">단위명 : Simple / Normal / Complex</t>
      </text>
    </comment>
    <comment authorId="0" ref="G1">
      <text>
        <t xml:space="preserve">스탭명 : Step1 / Step2 / Step3 / Mix Example</t>
      </text>
    </comment>
    <comment authorId="0" ref="H1">
      <text>
        <t xml:space="preserve">코멘트 달고 싶으면 쓰세요(생략가능)</t>
      </text>
    </comment>
  </commentList>
</comments>
</file>

<file path=xl/sharedStrings.xml><?xml version="1.0" encoding="utf-8"?>
<sst xmlns="http://schemas.openxmlformats.org/spreadsheetml/2006/main" count="654" uniqueCount="265">
  <si>
    <t>Creator name</t>
  </si>
  <si>
    <t>UCS</t>
  </si>
  <si>
    <t>File name</t>
  </si>
  <si>
    <t>Path</t>
  </si>
  <si>
    <t>Description</t>
  </si>
  <si>
    <t>Grade</t>
  </si>
  <si>
    <t>Step</t>
  </si>
  <si>
    <t>ETC</t>
  </si>
  <si>
    <t>KTB</t>
  </si>
  <si>
    <t>SCI-FI\Weapons\Step_01\TII_SCIWeap_BlackHoleAppear_Complex_Step1_DESIGNED_01.wav</t>
  </si>
  <si>
    <t>#중력붕괴음 #시공간왜곡 #공간압축사운드 #암흑물질 #다크앰비언스 #서브베이스 #웜홀사운드 #GravityCollapse #SingularitySFX #DarkAmbience #SpaceDistortion #SubBassSound #WormholeSFX #VoidSound</t>
  </si>
  <si>
    <t>SCI-FI\Weapons\Step_01\TII_SCIWeap_BlackHoleAppear_Complex_Step1_DESIGNED_02.wav</t>
  </si>
  <si>
    <t>SCI-FI\Weapons\Step_01\TII_SCIWeap_BlackHoleAppear_Complex_Step1_DESIGNED_03.wav</t>
  </si>
  <si>
    <t>SCI-FI\Weapons\Step_01\TII_SCIWeap_BlackHoleAppear_Complex_Step1_DESIGNED_04.wav</t>
  </si>
  <si>
    <t>SCI-FI\Weapons\Step_01\TII_SCIWeap_BlackHoleAppear_Complex_Step1_DESIGNED_05.wav</t>
  </si>
  <si>
    <t>SCI-FI\Weapons\Step_01\TII_SCIWeap_BlackHoleAppear_Complex_Step1_DESIGNED_Package.wav</t>
  </si>
  <si>
    <t>SCI-FI\Weapons\Step_01\TII_SCIWeap_SatelliteBeamTrigger_Complex_Step1_DESIGNED_01.wav</t>
  </si>
  <si>
    <t>#궤도폭격음 #전술레이저 #위성요격 #에너지빔 #타겟락온 #공상과학메카닉 #충전빔 #OrbitalStrike #LaserBeamSFX #TacticalLaser #TargetLockOn #HighTechSFX #SciFiTelemetry #EnergyDischarge</t>
  </si>
  <si>
    <t>SCI-FI\Weapons\Step_01\TII_SCIWeap_SatelliteBeamTrigger_Complex_Step1_DESIGNED_02.wav</t>
  </si>
  <si>
    <t>SCI-FI\Weapons\Step_01\TII_SCIWeap_SatelliteBeamTrigger_Complex_Step1_DESIGNED_03.wav</t>
  </si>
  <si>
    <t>SCI-FI\Weapons\Step_01\TII_SCIWeap_SatelliteBeamTrigger_Complex_Step1_DESIGNED_04.wav</t>
  </si>
  <si>
    <t>SCI-FI\Weapons\Step_01\TII_SCIWeap_SatelliteBeamTrigger_Complex_Step1_DESIGNED_05.wav</t>
  </si>
  <si>
    <t>SCI-FI\Weapons\Step_01\TII_SCIWeap_SatelliteBeamTrigger_Complex_Step1_DESIGNED_06.wav</t>
  </si>
  <si>
    <t>SCI-FI\Weapons\Step_01\TII_SCIWeap_SatelliteBeamTrigger_Complex_Step1_DESIGNED_07.wav</t>
  </si>
  <si>
    <t>SCI-FI\Weapons\Step_01\TII_SCIWeap_SatelliteBeamTrigger_Complex_Step1_DESIGNED_08.wav</t>
  </si>
  <si>
    <t>SCI-FI\Weapons\Step_01\TII_SCIWeap_SatelliteBeamTrigger_Complex_Step1_DESIGNED_Package.wav</t>
  </si>
  <si>
    <t>SCI-FI\Weapons\Step_01\TII_SCIWeap_ChargeCannonTrigger_Normal_Step1_DESIGNED_01.wav</t>
  </si>
  <si>
    <t>#입자가속포 #플라즈마방전 #기력방출 #헤비캐논 #레일건사운드 #압축에너지 #타격음 #ParticleAccelerator #PlasmaDischarge #HeavyCannon #RailgunSFX #EnergyRelease #KineticWeapon #ImpactSFX</t>
  </si>
  <si>
    <t>SCI-FI\Weapons\Step_01\TII_SCIWeap_ChargeCannonTrigger_Normal_Step1_DESIGNED_02.wav</t>
  </si>
  <si>
    <t>SCI-FI\Weapons\Step_01\TII_SCIWeap_ChargeCannonTrigger_Normal_Step1_DESIGNED_03.wav</t>
  </si>
  <si>
    <t>SCI-FI\Weapons\Step_01\TII_SCIWeap_ChargeCannonTrigger_Normal_Step1_DESIGNED_04.wav</t>
  </si>
  <si>
    <t>SCI-FI\Weapons\Step_01\TII_SCIWeap_ChargeCannonTrigger_Normal_Step1_DESIGNED_05.wav</t>
  </si>
  <si>
    <t>SCI-FI\Weapons\Step_01\TII_SCIWeap_ChargeCannonTrigger_Normal_Step1_DESIGNED_06.wav</t>
  </si>
  <si>
    <t>SCI-FI\Weapons\Step_01\TII_SCIWeap_ChargeCannonTrigger_Normal_Step1_DESIGNED_07.wav</t>
  </si>
  <si>
    <t>SCI-FI\Weapons\Step_01\TII_SCIWeap_ChargeCannonTrigger_Normal_Step1_DESIGNED_08.wav</t>
  </si>
  <si>
    <t>SCI-FI\Weapons\Step_01\TII_SCIWeap_ChargeCannonTrigger_Normal_Step1_DESIGNED_Package.wav</t>
  </si>
  <si>
    <t>SCI-FI\Weapons\Step_01\TII_SCIWeap_SCIFIArrowMaking_Normal_Step1_DESIGNED_01.wav</t>
  </si>
  <si>
    <t>#광학화살 #에너지필라멘트 #화살생성음 #디지털활 #하이브리드보우 #파츠조립음 #하이드록시릭 #나노테크 #EnergyArrow #SciFiBow #ArrowMaterialization #DigitalBow #MechanicalAssembly #NanoTechSFX #LightWeapons #CyberArcher</t>
  </si>
  <si>
    <t>SCI-FI\Weapons\Step_01\TII_SCIWeap_SCIFIArrowMaking_Normal_Step1_DESIGNED_02.wav</t>
  </si>
  <si>
    <t>SCI-FI\Weapons\Step_01\TII_SCIWeap_SCIFIArrowMaking_Normal_Step1_DESIGNED_03.wav</t>
  </si>
  <si>
    <t>SCI-FI\Weapons\Step_01\TII_SCIWeap_SCIFIArrowMaking_Normal_Step1_DESIGNED_04.wav</t>
  </si>
  <si>
    <t>SCI-FI\Weapons\Step_01\TII_SCIWeap_SCIFIArrowMaking_Normal_Step1_DESIGNED_05.wav</t>
  </si>
  <si>
    <t>SCI-FI\Weapons\Step_01\TII_SCIWeap_SCIFIArrowMaking_Normal_Step1_DESIGNED_Package.wav</t>
  </si>
  <si>
    <t>SCI-FI\Weapons\Step_01\TII_SCIWeap_LaserGunShoot_Simple_Step1_DESIGNED_01.wav</t>
  </si>
  <si>
    <t>#광선총 #레이저단발 #펄스레이저 #블래스터사운드 #플라즈마이젝션 #고주파음 #피우피우 #타격음 #LaserBlaster #PulseLaser #LaserShootSFX #BlasterFire #PlasmaEjection #HighFrequencySFX #PewPewSound #EnergyDischarge</t>
  </si>
  <si>
    <t>SCI-FI\Weapons\Step_01\TII_SCIWeap_LaserGunShoot_Simple_Step1_DESIGNED_02.wav</t>
  </si>
  <si>
    <t>SCI-FI\Weapons\Step_01\TII_SCIWeap_LaserGunShoot_Simple_Step1_DESIGNED_03.wav</t>
  </si>
  <si>
    <t>SCI-FI\Weapons\Step_01\TII_SCIWeap_LaserGunShoot_Simple_Step1_DESIGNED_04.wav</t>
  </si>
  <si>
    <t>SCI-FI\Weapons\Step_01\TII_SCIWeap_LaserGunShoot_Simple_Step1_DESIGNED_05.wav</t>
  </si>
  <si>
    <t>SCI-FI\Weapons\Step_01\TII_SCIWeap_LaserGunShoot_Simple_Step1_DESIGNED_06.wav</t>
  </si>
  <si>
    <t>SCI-FI\Weapons\Step_01\TII_SCIWeap_LaserGunShoot_Simple_Step1_DESIGNED_07.wav</t>
  </si>
  <si>
    <t>SCI-FI\Weapons\Step_01\TII_SCIWeap_LaserGunShoot_Simple_Step1_DESIGNED_08.wav</t>
  </si>
  <si>
    <t>SCI-FI\Weapons\Step_01\TII_SCIWeap_LaserGunShoot_Simple_Step1_DESIGNED_09.wav</t>
  </si>
  <si>
    <t>SCI-FI\Weapons\Step_01\TII_SCIWeap_LaserGunShoot_Simple_Step1_DESIGNED_10.wav</t>
  </si>
  <si>
    <t>SCI-FI\Weapons\Step_01\TII_SCIWeap_LaserGunShoot_Simple_Step1_DESIGNED_11.wav</t>
  </si>
  <si>
    <t>SCI-FI\Weapons\Step_01\TII_SCIWeap_LaserGunShoot_Simple_Step1_DESIGNED_12.wav</t>
  </si>
  <si>
    <t>SCI-FI\Weapons\Step_01\TII_SCIWeap_LaserGunShoot_Simple_Step1_DESIGNED_Package.wav</t>
  </si>
  <si>
    <t>SCI-FI\Weapons\Step_01\TII_SCIWeap_SCIFIBeamSwordGeneration_Simple_Step1_DESIGNED_01.wav</t>
  </si>
  <si>
    <t>#광선검 #플라즈마블레이드 #라이트세이버 #빔소드사운드 #에너지전개 #고주파허밍 #이온화사운드 #검기작동 #BeamSword #PlasmaBlade #LightsaberIgnition #BladeGeneration #EnergyHum #LaserBlade #IonizationSFX #WeaponEquip</t>
  </si>
  <si>
    <t>SCI-FI\Weapons\Step_01\TII_SCIWeap_SCIFIBeamSwordGeneration_Simple_Step1_DESIGNED_02.wav</t>
  </si>
  <si>
    <t>SCI-FI\Weapons\Step_01\TII_SCIWeap_SCIFIBeamSwordGeneration_Simple_Step1_DESIGNED_03.wav</t>
  </si>
  <si>
    <t>SCI-FI\Weapons\Step_01\TII_SCIWeap_SCIFIBeamSwordGeneration_Simple_Step1_DESIGNED_04.wav</t>
  </si>
  <si>
    <t>SCI-FI\Weapons\Step_01\TII_SCIWeap_SCIFIBeamSwordGeneration_Simple_Step1_DESIGNED_05.wav</t>
  </si>
  <si>
    <t>SCI-FI\Weapons\Step_01\TII_SCIWeap_SCIFIBeamSwordGeneration_Simple_Step1_DESIGNED_06.wav</t>
  </si>
  <si>
    <t>SCI-FI\Weapons\Step_01\TII_SCIWeap_SCIFIBeamSwordGeneration_Simple_Step1_DESIGNED_07.wav</t>
  </si>
  <si>
    <t>SCI-FI\Weapons\Step_01\TII_SCIWeap_SCIFIBeamSwordGeneration_Simple_Step1_DESIGNED_08.wav</t>
  </si>
  <si>
    <t>SCI-FI\Weapons\Step_01\TII_SCIWeap_SCIFIBeamSwordGeneration_Simple_Step1_DESIGNED_09.wav</t>
  </si>
  <si>
    <t>SCI-FI\Weapons\Step_01\TII_SCIWeap_SCIFIBeamSwordGeneration_Simple_Step1_DESIGNED_10.wav</t>
  </si>
  <si>
    <t>SCI-FI\Weapons\Step_01\TII_SCIWeap_SCIFIBeamSwordGeneration_Simple_Step1_DESIGNED_Package.wav</t>
  </si>
  <si>
    <t>SCI-FI\Weapons\Step_01\TII_SCIWeap_SCIFIPistolShoot_Simple_Step1_DESIGNED_01.wav</t>
  </si>
  <si>
    <t>#레이저권총 #사이버피스톨 #단발타격음 #플라즈마블래스터 #트랜지언트 #에너지방전 #소형화기 #하이드로릭방리 #LaserPistol #CyberPistol #SciFiHandgun #BlasterFire #PistolShootSFX #EnergyDischarge #TransientImpact #CompactWeapon</t>
  </si>
  <si>
    <t>SCI-FI\Weapons\Step_01\TII_SCIWeap_SCIFIPistolShoot_Simple_Step1_DESIGNED_02.wav</t>
  </si>
  <si>
    <t>SCI-FI\Weapons\Step_01\TII_SCIWeap_SCIFIPistolShoot_Simple_Step1_DESIGNED_03.wav</t>
  </si>
  <si>
    <t>SCI-FI\Weapons\Step_01\TII_SCIWeap_SCIFIPistolShoot_Simple_Step1_DESIGNED_04.wav</t>
  </si>
  <si>
    <t>SCI-FI\Weapons\Step_01\TII_SCIWeap_SCIFIPistolShoot_Simple_Step1_DESIGNED_05.wav</t>
  </si>
  <si>
    <t>SCI-FI\Weapons\Step_01\TII_SCIWeap_SCIFIPistolShoot_Simple_Step1_DESIGNED_06.wav</t>
  </si>
  <si>
    <t>SCI-FI\Weapons\Step_01\TII_SCIWeap_SCIFIPistolShoot_Simple_Step1_DESIGNED_07.wav</t>
  </si>
  <si>
    <t>SCI-FI\Weapons\Step_01\TII_SCIWeap_SCIFIPistolShoot_Simple_Step1_DESIGNED_Package.wav</t>
  </si>
  <si>
    <t>SCI-FI\Weapons\Step_02\TII_SCIWeap_BlackHoleVoid_Complex_Step2_Loop_Dynamic_DESIGNED_01.wav</t>
  </si>
  <si>
    <t>#공허의울림 #블랙홀루프 #중력왜곡음 #서브베이스 #다크앰비언스 #시공간붕괴 #화이트노이즈 #모듈레이션 #BlackHoleVoid #GravityWell #LoopableSFX #SubBassRumble #DarkAmbience #SpaceDrone #DynamicModulation #EventHorizon</t>
  </si>
  <si>
    <t>SCI-FI\Weapons\Step_02\TII_SCIWeap_BlackHoleVoid_Complex_Step2_Loop_Infinity_DESIGNED_01.wav</t>
  </si>
  <si>
    <t>SCI-FI\Weapons\Step_02\TII_SCIWeap_SatelliteBeamCharging_Complex_Step2_Loop_Dynamic_DESIGNED_01.wav</t>
  </si>
  <si>
    <t>#궤도폭격충전 #에너지수렴음 #고전압루프 #위성충전음 #입자가속 #주파수모듈레이션 #에너지과부하 #사이렌효과 #OrbitalCharging #BeamBuildUp #EnergyCondensation #HighVoltageHum #DynamicLoop #FrequencySweep #PowerOverload #SciFiTelemetry</t>
  </si>
  <si>
    <t>SCI-FI\Weapons\Step_02\TII_SCIWeap_SatelliteBeamCharging_Complex_Step2_Loop_Dynamic_DESIGNED_02.wav</t>
  </si>
  <si>
    <t>SCI-FI\Weapons\Step_02\TII_SCIWea_SatelliteBeamChargingp_Complex_Step2_Loop_Dynamic_DESIGNED_03.wav</t>
  </si>
  <si>
    <t>SCI-FI\Weapons\Step_02\TII_SCIWeap_SatelliteBeamCharging_Complex_Step2_Loop_Infinity_DESIGNED_01.wav</t>
  </si>
  <si>
    <t>SCI-FI\Weapons\Step_02\TII_SCIWeap_SatelliteBeamCharging_Complex_Step2_Loop_Infinity_DESIGNED_02.wav</t>
  </si>
  <si>
    <t>SCI-FI\Weapons\Step_02\TII_SCIWeap_SatelliteBeamCharging_Complex_Step2_Loop_Infinity_DESIGNED_03.wav</t>
  </si>
  <si>
    <t>SCI-FI\Weapons\Step_02\TII_SCIWeap_ChargeCannonEnergyGain_Normal_Step2_Loop_Dynamic_DESIGNED_01.wav</t>
  </si>
  <si>
    <t>#에너지게인 #입자가속루프 #자력흡입음 #캐논차징 #플라즈마증폭 #자기장진동 #다이내믹스웰 #압축사운드 #EnergyGain #ParticleAcceleration #MagneticVibration #PlasmaAmplification #DynamicSwell #CannonBuildUp #LoopableCharge #SuctionSFX</t>
  </si>
  <si>
    <t>SCI-FI\Weapons\Step_02\TII_SCIWeap_ChargeCannonEnergyGain_Normal_Step2_Loop_Dynamic_DESIGNED_02.wav</t>
  </si>
  <si>
    <t>SCI-FI\Weapons\Step_02\TII_SCIWeap_ChargeCannonEnergyGain_Normal_Step2_Loop_Infinity_DESIGNED_01.wav</t>
  </si>
  <si>
    <t>SCI-FI\Weapons\Step_02\TII_SCIWeap_ChargeCannonEnergyGain_Normal_Step2_Loop_Infinity_DESIGNED_02.wav</t>
  </si>
  <si>
    <t>SCI-FI\Weapons\Step_02\TII_SCIWeap_DrawSCIFIBow_Normal_Step2_DESIGNED_01.wav</t>
  </si>
  <si>
    <t>#활시위장전 #서보모터구동음 #에너지시위 #메카닉장력 #고장력텐션 #마찰비프음 #하이브리드보우 #키네틱록 #BowDrawSFX #ServoMechanism #EnergyTension #MechanicalString #SciFiArchery #TensionBuildUp #KineticLock #AcousticFriction</t>
  </si>
  <si>
    <t>SCI-FI\Weapons\Step_02\TII_SCIWeap_DrawSCIFIBow_Normal_Step2_DESIGNED_02.wav</t>
  </si>
  <si>
    <t>SCI-FI\Weapons\Step_02\TII_SCIWeap_DrawSCIFIBow_Normal_Step2_DESIGNED_03.wav</t>
  </si>
  <si>
    <t>SCI-FI\Weapons\Step_02\TII_SCIWeap_DrawSCIFIBow_Normal_Step2_DESIGNED_04.wav</t>
  </si>
  <si>
    <t>SCI-FI\Weapons\Step_02\TII_SCIWeap_DrawSCIFIBow_Normal_Step2_DESIGNED_05.wav</t>
  </si>
  <si>
    <t>SCI-FI\Weapons\Step_02\TII_SCIWeap_DrawSCIFIBow_Normal_Step2_DESIGNED_Package.wav</t>
  </si>
  <si>
    <t>SCI-FI\Weapons\Step_02\TII_SCIWeap_Simple_SCIFIPistolBulletFly_Step2_Loop_Dynamic_DESIGNED_01.wav</t>
  </si>
  <si>
    <t>#탄환비행음 #플라즈마궤적 #공기찢는소리 #도플러효과 #쉬익 #초고속마찰음 #잔상사운드 #투사체루프 #BulletWhiz #PlasmaTrail #ProjectileFlyby #DopplerEffect #AirFrictionSFX #EnergyWhiz #DynamicFlyby #SonicWhip</t>
  </si>
  <si>
    <t>SCI-FI\Weapons\Step_02\TII_SCIWeap_SCIFIPistolBulletFly_Simple_Step2_Loop_Dynamic_DESIGNED_02.wav</t>
  </si>
  <si>
    <t>SCI-FI\Weapons\Step_02\TII_SCIWeap_SCIFIPistolBulletFly_Simple_Step2_Loop_Dynamic_DESIGNED_03.wav</t>
  </si>
  <si>
    <t>SCI-FI\Weapons\Step_02\TII_SCIWeap_Simple_SCIFIPistolBulletFly_Step2_Loop_Infinity_DESIGNED_01.wav</t>
  </si>
  <si>
    <t>SCI-FI\Weapons\Step_02\TII_SCIWeap_Simple_SCIFIPistolBulletFly_Step2_Loop_Infinity_DESIGNED_02.wav</t>
  </si>
  <si>
    <t>SCI-FI\Weapons\Step_02\TII_SCIWeap_Simple_SCIFIPistolBulletFly_Step2_Loop_Infinity_DESIGNED_03.wav</t>
  </si>
  <si>
    <t>SCI-FI\Weapons\Step_02\TII_SCIWeap_SCIFISwoosh_Simple_Step2_DESIGNED_01.wav</t>
  </si>
  <si>
    <t>#공기파열음 #휘두르기 #에너지잔상음 #가속마찰음 #화이트노이즈스윕 #찰나의타격 #바람찢는소리 #위시사운드 #SciFiSwoosh #WeaponWhoosh #AirRendSFX #EnergyWhip #TransientSwoosh #VelocitySweep #QuickMotionSFX #HighSpeedPassby</t>
  </si>
  <si>
    <t>SCI-FI\Weapons\Step_02\TII_SCIWeap_SCIFISwoosh_Simple_Step2_DESIGNED_02.wav</t>
  </si>
  <si>
    <t>SCI-FI\Weapons\Step_02\TII_SCIWeap_SCIFISwoosh_Simple_Step2_DESIGNED_03.wav</t>
  </si>
  <si>
    <t>SCI-FI\Weapons\Step_02\TII_SCIWeap_SCIFISwoosh_Simple_Step2_DESIGNED_04.wav</t>
  </si>
  <si>
    <t>SCI-FI\Weapons\Step_02\TII_SCIWeap_SCIFISwoosh_Simple_Step2_DESIGNED_05.wav</t>
  </si>
  <si>
    <t>SCI-FI\Weapons\Step_02\TII_SCIWeap_SCIFISwoosh_Simple_Step2_DESIGNED_06.wav</t>
  </si>
  <si>
    <t>SCI-FI\Weapons\Step_02\TII_SCIWeap_SCIFISwoosh_Simple_Step2_DESIGNED_07.wav</t>
  </si>
  <si>
    <t>SCI-FI\Weapons\Step_02\TII_SCIWeap_SCIFISwoosh_Simple_Step2_DESIGNED_08.wav</t>
  </si>
  <si>
    <t>SCI-FI\Weapons\Step_02\TII_SCIWeap_SCIFISwoosh_Simple_Step2_DESIGNED_09.wav</t>
  </si>
  <si>
    <t>SCI-FI\Weapons\Step_02\TII_SCIWeap_SCIFISwoosh_Simple_Step2_DESIGNED_10.wav</t>
  </si>
  <si>
    <t>SCI-FI\Weapons\Step_02\TII_SCIWeap_SCIFISwoosh_Simple_Step2_DESIGNED_Package.wav</t>
  </si>
  <si>
    <t>SCI-FI\Weapons\Step_03\TII_SCIWeap_BlackHoleExplosion_Complex_Step3_DESIGNED_01.wav</t>
  </si>
  <si>
    <t>#블랙홀폭발음 #시공간파괴 #중력붕괴 #초신성폭발 #에너지방출 #괴멸적잔향 #소닉붐 #서브베이스타격 #BlackHoleExplosion #GravityImplosion #SingularityBurst #CosmicShockwave #SubBassImpact #SpaceCataclysm #TransientExplosion #QuantumRupture</t>
  </si>
  <si>
    <t>SCI-FI\Weapons\Step_03\TII_SCIWeap_BlackHoleExplosion_Complex_Step3_DESIGNED_02.wav</t>
  </si>
  <si>
    <t>SCI-FI\Weapons\Step_03\TII_SCIWeap_BlackHoleExplosion_Complex_Step3_DESIGNED_03.wav</t>
  </si>
  <si>
    <t>SCI-FI\Weapons\Step_03\TII_SCIWeap_BlackHoleExplosion_Complex_Step3_DESIGNED_04.wav</t>
  </si>
  <si>
    <t>SCI-FI\Weapons\Step_03\TII_SCIWeap_BlackHoleExplosion_Complex_Step3_DESIGNED_05.wav</t>
  </si>
  <si>
    <t>SCI-FI\Weapons\Step_03\TII_SCIWeap_BlackHoleExplosion_Complex_Step3_DESIGNED_Package.wav</t>
  </si>
  <si>
    <t>SCI-FI\Weapons\Step_03\TII_SCIWeap_ChargeCannonShoot_Complex_Step3_DESIGNED_01.wav</t>
  </si>
  <si>
    <t>#입자가속격발 #플라즈마방전 #주포발사음 #초고출력포 #레일건타격 #에너지빔사출 #공기파열음 #일렉트로매그네틱 #CannonFireSFX #PlasmaEjection #HeavyDischarge #HighVelocityImpact #KineticBlast #RailgunShoot #EnergyRupture #TransientImpact</t>
  </si>
  <si>
    <t>SCI-FI\Weapons\Step_03\TII_SCIWeap_Complex_ChargeCannonShoot_Step3_DESIGNED_01.wav</t>
  </si>
  <si>
    <t>SCI-FI\Weapons\Step_03\TII_SCIWeap_ChargeCannonShoot_Complex_Step3_DESIGNED_02.wav</t>
  </si>
  <si>
    <t>SCI-FI\Weapons\Step_03\TII_SCIWeap_ChargeCannonShoot_Complex_Step3_DESIGNED_03.wav</t>
  </si>
  <si>
    <t>SCI-FI\Weapons\Step_03\TII_SCIWeap_ChargeCannonShoot_Complex_Step3_DESIGNED_04.wav</t>
  </si>
  <si>
    <t>SCI-FI\Weapons\Step_03\TII_SCIWeap_ChargeCannonShoot_Complex_Step3_DESIGNED_05.wav</t>
  </si>
  <si>
    <t>SCI-FI\Weapons\Step_03\TII_SCIWeap_ChargeCannonShoot_Complex_Step3_DESIGNED_06.wav</t>
  </si>
  <si>
    <t>SCI-FI\Weapons\Step_03\TII_SCIWeap_ChargeCannonShoot_Complex_Step3_DESIGNED_07.wav</t>
  </si>
  <si>
    <t>SCI-FI\Weapons\Step_03\TII_SCIWeap_ChargeCannonShoot_Complex_Step3_DESIGNED_08.wav</t>
  </si>
  <si>
    <t>SCI-FI\Weapons\Step_03\TII_SCIWeap_ChargeCannonShoot_Complex_Step3_DESIGNED_Package.wav</t>
  </si>
  <si>
    <t>SCI-FI\Weapons\Step_03\TII_SCIWeap_SatelliteBeamShoot_Complex_Step3_DESIGNED_01.wav</t>
  </si>
  <si>
    <t>#궤도폭격격발 #성층권파열 #위성요격 #에너지빔방출 #고전압플라즈마 #대기권스윕 #소닉붐타격 #하늘천둥 #OrbitalStrike #SatelliteLaser #BeamDischarge #AtmosRupture #HighVoltageBlast #SonicBoomSFX #EnergyLaserShoot #TransientImpact</t>
  </si>
  <si>
    <t>SCI-FI\Weapons\Step_03\TII_SCIWeap_SatelliteBeamShoot_Complex_Step3_DESIGNED_02.wav</t>
  </si>
  <si>
    <t>SCI-FI\Weapons\Step_03\TII_SCIWeap_SatelliteBeamShoot_Complex_Step3_DESIGNED_03.wav</t>
  </si>
  <si>
    <t>SCI-FI\Weapons\Step_03\TII_SCIWeap_SatelliteBeamShoot_Complex_Step3_DESIGNED_04.wav</t>
  </si>
  <si>
    <t>SCI-FI\Weapons\Step_03\TII_SCIWeap_SatelliteBeamShoot_Complex_Step3_DESIGNED_05.wav</t>
  </si>
  <si>
    <t>SCI-FI\Weapons\Step_03\TII_SCIWeap_SatelliteBeamShoot_Complex_Step3_DESIGNED_06.wav</t>
  </si>
  <si>
    <t>SCI-FI\Weapons\Step_03\TII_SCIWeap_SatelliteBeamShoot_Complex_Step3_DESIGNED_07.wav</t>
  </si>
  <si>
    <t>SCI-FI\Weapons\Step_03\TII_SCIWeap_SatelliteBeamShoot_Complex_Step3_DESIGNED_Package.wav</t>
  </si>
  <si>
    <t>SCI-FI\Weapons\Step_03\TII_SCIWeap_SCIFIArrowShot_Normal_Step3_DESIGNED_01.wav</t>
  </si>
  <si>
    <t>#화살격발음 #에너지시위사출 #하이테크탄성 #서보기계식방출 #고주파마찰음 #광학화살발사 #공기파열 #스냅타격 #ArrowShotSFX #SciFiBowFire #EnergyRelease #MechanicalSnap #HighVelocityProjectile #LaserArrow #AcousticTensionRelease #TransientSnap</t>
  </si>
  <si>
    <t>SCI-FI\Weapons\Step_03\TII_SCIWeap_SCIFIArrowShot_Normal_Step3_DESIGNED_02.wav</t>
  </si>
  <si>
    <t>SCI-FI\Weapons\Step_03\TII_SCIWeap_SCIFIArrowShot_Normal_Step3_DESIGNED_03.wav</t>
  </si>
  <si>
    <t>SCI-FI\Weapons\Step_03\TII_SCIWeap_SCIFIArrowShot_Normal_Step3_DESIGNED_04.wav</t>
  </si>
  <si>
    <t>SCI-FI\Weapons\Step_03\TII_SCIWeap_SCIFIArrowShot_Normal_Step3_DESIGNED_05.wav</t>
  </si>
  <si>
    <t>SCI-FI\Weapons\Step_03\TII_SCIWeap_SCIFIArrowShot_Normal_Step3_DESIGNED_06.wav</t>
  </si>
  <si>
    <t>SCI-FI\Weapons\Step_03\TII_SCIWeap_SCIFIArrowShot_Normal_Step3_DESIGNED_07.wav</t>
  </si>
  <si>
    <t>SCI-FI\Weapons\Step_03\TII_SCIWeap_SCIFIArrowShot_Normal_Step3_DESIGNED_08.wav</t>
  </si>
  <si>
    <t>SCI-FI\Weapons\Step_03\TII_SCIWeap_SCIFIArrowShot_Normal_Step3_DESIGNED_09.wav</t>
  </si>
  <si>
    <t>SCI-FI\Weapons\Step_03\TII_SCIWeap_SCIFIArrowShot_Normal_Step3_DESIGNED_10.wav</t>
  </si>
  <si>
    <t>SCI-FI\Weapons\Step_03\TII_SCIWeap_SCIFIArrowShot_Normal_Step3_DESIGNED_Package.wav</t>
  </si>
  <si>
    <t>SCI-FI\Weapons\Step_03\TII_SCIWeap_LaserHit_Simple_Step3_DESIGNED_01.wav</t>
  </si>
  <si>
    <t>#레이저피격음 #광선타격 #플라즈마비산 #에너지충돌 #표면파열음 #실드방전 #고주파스파크 #피격어택 #LaserHitSFX #PlasmaImpact #EnergyCollision #ShieldDischarge #HighFrequencySpark #SurfaceRupture #TransientImpact #SciFiDamage</t>
  </si>
  <si>
    <t>SCI-FI\Weapons\Step_03\TII_SCIWeap_LaserHit_Simple_Step3_DESIGNED_02.wav</t>
  </si>
  <si>
    <t>SCI-FI\Weapons\Step_03\TII_SCIWeap_LaserHit_Simple_Step3_DESIGNED_03.wav</t>
  </si>
  <si>
    <t>SCI-FI\Weapons\Step_03\TII_SCIWeap_LaserHit_Simple_Step3_DESIGNED_04.wav</t>
  </si>
  <si>
    <t>SCI-FI\Weapons\Step_03\TII_SCIWeap_LaserHit_Simple_Step3_DESIGNED_05.wav</t>
  </si>
  <si>
    <t>SCI-FI\Weapons\Step_03\TII_SCIWeap_LaserHit_Simple_Step3_DESIGNED_06.wav</t>
  </si>
  <si>
    <t>SCI-FI\Weapons\Step_03\TII_SCIWeap_LaserHit_Simple_Step3_DESIGNED_07.wav</t>
  </si>
  <si>
    <t>SCI-FI\Weapons\Step_03\TII_SCIWeap_LaserHit_Simple_Step3_DESIGNED_08.wav</t>
  </si>
  <si>
    <t>SCI-FI\Weapons\Step_03\TII_SCIWeap_LaserHit_Simple_Step3_DESIGNED_09.wav</t>
  </si>
  <si>
    <t>SCI-FI\Weapons\Step_03\TII_SCIWeap_LaserHit_Simple_Step3_DESIGNED_10.wav</t>
  </si>
  <si>
    <t>SCI-FI\Weapons\Step_03\TII_SCIWeap_LaserHit_Simple_Step3_DESIGNED_11.wav</t>
  </si>
  <si>
    <t>SCI-FI\Weapons\Step_03\TII_SCIWeap_LaserHit_Simple_Step3_DESIGNED_Package.wav</t>
  </si>
  <si>
    <t>SCI-FI\Weapons\Step_03\TII_SCIWeap_PistoHit_Simple_Step3_DESIGNED_01.wav</t>
  </si>
  <si>
    <t>#권총피격음 #탄환적중 #포인트타격 #에너지관통 #금속스파크 #방전파열 #소형화기피격 #찰나의충격 #PistolHitSFX #BulletImpact #PointDamage #KineticPenetration #MetallicSpark #CompactImpact #TransientCrack #CyberDamage</t>
  </si>
  <si>
    <t>SCI-FI\Weapons\Step_03\TII_SCIWeap_PistoHit_Simple_Step3_DESIGNED_02.wav</t>
  </si>
  <si>
    <t>SCI-FI\Weapons\Step_03\TII_SCIWeap_PistoHit_Simple_Step3_DESIGNED_03.wav</t>
  </si>
  <si>
    <t>SCI-FI\Weapons\Step_03\TII_SCIWeap_PistoHit_Simple_Step3_DESIGNED_04.wav</t>
  </si>
  <si>
    <t>SCI-FI\Weapons\Step_03\TII_SCIWeap_PistoHit_Simple_Step3_DESIGNED_05.wav</t>
  </si>
  <si>
    <t>SCI-FI\Weapons\Step_03\TII_SCIWeap_PistoHit_Simple_Step3_DESIGNED_06.wav</t>
  </si>
  <si>
    <t>SCI-FI\Weapons\Step_03\TII_SCIWeap_PistoHit_Simple_Step3_DESIGNED_07.wav</t>
  </si>
  <si>
    <t>SCI-FI\Weapons\Step_03\TII_SCIWeap_PistoHit_Simple_Step3_DESIGNED_08.wav</t>
  </si>
  <si>
    <t>SCI-FI\Weapons\Step_03\TII_SCIWeap_PistoHit_Simple_Step3_DESIGNED_09.wav</t>
  </si>
  <si>
    <t>SCI-FI\Weapons\Step_03\TII_SCIWeap_PistoHit_Simple_Step3_DESIGNED_Package.wav</t>
  </si>
  <si>
    <t>SCI-FI\Weapons\Mix_Samples\TII_SCIWeap_BlackHole_Complex_MixDown_DESIGNED.wav</t>
  </si>
  <si>
    <t>#블랙홀풀시퀀스 #시네마틱믹스다운 #우주재앙사운드 #풀체인오디오 #마스터링이펙트 #다이내믹레인지 #거대공간감 #서브베이스스웰 #BlackHoleMixdown #CinematicSFX #FullSequenceAudio #CosmicCataclysm #MasteredSFX #DynamicTimeline #SubBassRumble #SciFiClimax</t>
  </si>
  <si>
    <t>SCI-FI\Weapons\Mix_Samples\TII_SCIWeap_SatelliteBeam_Complex_MixDown_DESIGNED.wav</t>
  </si>
  <si>
    <t>#위성폭격시퀀스 #시네마틱믹스다운 #궤도타격최종본 #대기권파열음 #풀체인오디오 #하이테크사운드스케이프 #초고압방전 #공간감마스터링 #OrbitalStrikeMix #CinematicLaser #FullSequenceSFX #SatelliteBeamMaster #HighTechTelemetry #AtmosphericRupture #DynamicTimeline #AudioClimax</t>
  </si>
  <si>
    <t>SCI-FI\Weapons\Mix_Samples\TII_SCIWeap_ChargeCannon_Normal_MixDown_DESIGNED.wav</t>
  </si>
  <si>
    <t>#전자기집속 #코일건사운드 #압축에너지방전 #메카닉주포 #트랜지언트어택 #사운드엔지니어링 #시네마틱클라이맥스 #헤비웨폰루프 #ElectromagneticCoil #CoilgunShoot #EnergyCondensation #HeavyArtillery #TransientAttack #MasteredAudio #CinematicClimax #WeaponSFXChain</t>
  </si>
  <si>
    <t>SCI-FI\Weapons\Mix_Samples\TII_SCIWeap_SCIFIBow_Normal_MixDown_DESIGNED.wav</t>
  </si>
  <si>
    <t>#사이버아처 #기계식활시위 #광학화살시퀀스 #시네마틱믹스다운 #에너지장력방출 #하이브리드보우 #풀체인오디오 #메카닉스냅 #CyberArcherSFX #MechanicalBowMix #EnergyArrowSequence #CinematicSnap #FullChainAudio #TensionRelease #AcousticFriction #MasteredBow</t>
  </si>
  <si>
    <t>SCI-FI\Weapons\Mix_Samples\TII_SCIWeap_BeamSaber_Simple_MixDown_DESIGNED.wav</t>
  </si>
  <si>
    <t>#광선검시퀀스 #빔세이버최종본 #시네마틱믹스다운 #플라즈마블레이드 #고주파이온진동 #공기파열스우시 #풀체인오디오 #에너지타격 #BeamSaberMix #LightsaberIgnition #PlasmaBladeMaster #EnergySwoosh #CinematicSaber #HighFrequencyHum #IonizationSFX #MasteredHit</t>
  </si>
  <si>
    <t>SCI-FI\Weapons\Mix_Samples\TII_SCIWeap_LaserGunShoot_Simple_MixDown_DESIGNED.wav</t>
  </si>
  <si>
    <t>#레이저건격발 #광학화기최종본 #시네마틱믹스다운 #플라즈마블래스터 #고전압방전음 #대기파열음 #풀체인오디오 #압축타격 #LaserGunMix #BlasterShootMaster #EnergyDischarge #CinematicLaser #HighFrequencyBlast #PlasmaFireSFX #TransientLaser #MasteredAudio</t>
  </si>
  <si>
    <t>SCI-FI\Weapons\Mix_Samples\TII_SCIWeap_SCIFIPistolShoot_Simple_MixDown_DESIGNED.wav</t>
  </si>
  <si>
    <t>#SF권총격발 #사이버블래스터 #시네마틱믹스다운 #에너지사출 #고주파크랙 #소형화기최종본 #풀체인오디오 #경쾌한타격 #PistolShootMix #SciFiBlaster #EnergyDischarge #CompactPistolSFX #TransientCrack #HighVelocityFire #MasteredAudio #CyberWeapon</t>
  </si>
  <si>
    <t>BMS</t>
  </si>
  <si>
    <t>SCI-FI\Shield\Step_01\TII_SCIEnrg_EnergyShieldUp_Normal_Step1_DESIGNED_01.wav</t>
  </si>
  <si>
    <t>#에너지쉴드 #사이버쉴드 #보호막 #에너지생성 #역장 #플라즈마 #에너지유지 #에너지피격 #쉴드파괴 #에너지분산 #EnergyShield #SciFiShield #ShieldSFX #EnergyGeneration #ForceField #Plasma #EnergySustain #EnergyImpact #EnergyShieldBreak  #EnergyDispersion</t>
  </si>
  <si>
    <t>SCI-FI\Shield\Step_01\TII_SCIEnrg_EnergyShieldUp_Normal_Step1_DESIGNED_02.wav</t>
  </si>
  <si>
    <t>SCI-FI\Shield\Step_01\TII_SCIEnrg_EnergyShieldUp_Normal_Step1_DESIGNED_03.wav</t>
  </si>
  <si>
    <t>SCI-FI\Shield\Step_01\TII_SCIEnrg_EnergyShieldUp_Normal_Step1_DESIGNED_04.wav</t>
  </si>
  <si>
    <t>SCI-FI\Shield\Step_01\TII_SCIEnrg_EnergyShieldUp_Normal_Step1_DESIGNED_05.wav</t>
  </si>
  <si>
    <t>SCI-FI\Shield\Step_01\TII_SCIEnrg_EnergyShieldUpLow_Normal_Step1_DESIGNED_01.wav</t>
  </si>
  <si>
    <t>SCI-FI\Shield\Step_01\TII_SCIEnrg_EnergyShieldUpLow_Normal_Step1_DESIGNED_02.wav</t>
  </si>
  <si>
    <t>SCI-FI\Shield\Step_01\TII_SCIEnrg_EnergyShieldUpLow_Normal_Step1_DESIGNED_03.wav</t>
  </si>
  <si>
    <t>SCI-FI\Shield\Step_01\TII_SCIEnrg_EnergyShieldUpLow_Normal_Step1_DESIGNED_04.wav</t>
  </si>
  <si>
    <t>SCI-FI\Shield\Step_01\TII_SCIEnrg_EnergyShieldUpLow_Normal_Step1_DESIGNED_05.wav</t>
  </si>
  <si>
    <t>SCI-FI\Shield\Step_01\TII_SCIEnrg_EnergyShieldUpLow_Normal_Step1_DESIGNED_06.wav</t>
  </si>
  <si>
    <t>SCI-FI\Shield\Step_02\TII_SCIEnrg_Normal_EnergyShieldLoop_Step2_DESIGNED_01.wav</t>
  </si>
  <si>
    <t>SCI-FI\Shield\Step_02\TII_SCIEnrg_EnergyShieldLoop_Normal_Step2_DESIGNED_02.wav</t>
  </si>
  <si>
    <t>SCI-FI\Shield\Step_02\TII_SCIEnrg_EnergyShieldLoop_Normal_Step2_DESIGNED_03.wav</t>
  </si>
  <si>
    <t>SCI-FI\Shield\Step_02\TII_SCIEnrg_EnergyShieldLoop_Normal_Step2_DESIGNED_04.wav</t>
  </si>
  <si>
    <t>SCI-FI\Shield\Step_02\TII_SCIEnrg_EnergyShieldLoop_Normal_Step2_DESIGNED_05.wav</t>
  </si>
  <si>
    <t>SCI-FI\Shield\Step_02\TII_SCIEnrg_EnergyShieldLoop_Normal_Step2_DESIGNED_06.wav</t>
  </si>
  <si>
    <t>SCI-FI\Shield\Step_02\TII_SCIEnrg_EnergyShieldLoop_Normal_Step2_DESIGNED_07.wav</t>
  </si>
  <si>
    <t>SCI-FI\Shield\Step_03\TII_SCIEnrg_EnergyShieldDown_Normal_Step3_DESIGNED_01.wav</t>
  </si>
  <si>
    <t>SCI-FI\Shield\Step_03\TII_SCIEnrg_EnergyShieldDown_Normal_Step3_DESIGNED_02.wav</t>
  </si>
  <si>
    <t>SCI-FI\Shield\Step_03\TII_SCIEnrg_EnergyShieldDown_Normal_Step3_DESIGNED_03.wav</t>
  </si>
  <si>
    <t>SCI-FI\Shield\Step_03\TII_SCIEnrg_EnergyShieldDown_Normal_Step3_DESIGNED_04.wav</t>
  </si>
  <si>
    <t>SCI-FI\Shield\Step_03\TII_SCIEnrg_EnergyShieldDownLow_Normal_Step3_DESIGNED_01.wav</t>
  </si>
  <si>
    <t>SCI-FI\Shield\Step_03\TII_SCIEnrg_EnergyShieldDownLow_Normal_Step3_DESIGNED_02.wav</t>
  </si>
  <si>
    <t>SCI-FI\Shield\Step_03\TII_SCIEnrg_EnergyShieldDownLow_Normal_Step3_DESIGNED_03.wav</t>
  </si>
  <si>
    <t>SCI-FI\Shield\Step_03\TII_SCIEnrg_EnergyShieldDownLow_Normal_Step3_DESIGNED_04.wav</t>
  </si>
  <si>
    <t>SCI-FI\Shield\Step_03\TII_SCIEnrg_EnergyShieldDownLow_Normal_Step3_DESIGNED_05.wav</t>
  </si>
  <si>
    <t>SCI-FI\Shield\Step_03\TII_SCIEnrg_EnergyShieldImpact_Normal_Step3_DESIGNED_01.wav</t>
  </si>
  <si>
    <t>SCI-FI\Shield\Step_03\TII_SCIEnrg_EnergyShieldImpact_Normal_Step3_DESIGNED_02.wav</t>
  </si>
  <si>
    <t>SCI-FI\Shield\Step_03\TII_SCIEnrg_EnergyShieldImpact_Normal_Step3_DESIGNED_03.wav</t>
  </si>
  <si>
    <t>SCI-FI\Shield\Step_03\TII_SCIEnrg_EnergyShieldImpact_Normal_Step3_DESIGNED_04.wav</t>
  </si>
  <si>
    <t>SCI-FI\Shield\Mix_Samples\TII_SCIEnrg_Normal_EnergyShield_MixDown_DESIGNED_01.wav</t>
  </si>
  <si>
    <t>SCI-FI\Shield\Mix_Samples\TII_SCIEnrg_Normal_EnergyShield_MixDown_DESIGNED_02.wav</t>
  </si>
  <si>
    <t>SCI-FI\Shield\Mix_Samples\TII_SCIEnrg_Normal_EnergyShield_MixDown_DESIGNED_03.wav</t>
  </si>
  <si>
    <t>BJH</t>
  </si>
  <si>
    <t>TII_SCIEnrg_NanoTechnologyArmor_Normal_Step1_DESIGNED_01</t>
  </si>
  <si>
    <t>SCI-FI\NanoTechnology\Step_01\TII_SCIEnrg_NanoTechnologyArmor_Normal_Step1_DESIGNED_01.wav</t>
  </si>
  <si>
    <t>#나노테크 #나노아머 #나노봇 #아머장착 #에너지버프 #텍스처사운드 #메카닉아머 #방어막 #보호막 #에너지생성 #NanoTechnology #NanoArmor #SciFiEnergy #EnergyShield #ForceField #ShieldActivation #HiTech #FuturisticArmor #NanoBots #ShieldUp #CyberArmor #MechanicalArmor #TechShield</t>
  </si>
  <si>
    <t>TII_SCIEnrg_NanoTechnologyArmor_Normal_Step1_DESIGNED_02</t>
  </si>
  <si>
    <t>SCI-FI\NanoTechnology\Step_01\TII_SCIEnrg_NanoTechnologyArmor_Normal_Step1_DESIGNED_02.wav</t>
  </si>
  <si>
    <t>TII_SCIEnrg_NanoTechnologyArmor_Normal_Step1_DESIGNED_03</t>
  </si>
  <si>
    <t>SCI-FI\NanoTechnology\Step_01\TII_SCIEnrg_NanoTechnologyArmor_Normal_Step1_DESIGNED_03.wav</t>
  </si>
  <si>
    <t>TII_SCIEnrg_NanoTechnologyArmor_Normal_Step1_DESIGNED_04</t>
  </si>
  <si>
    <t>SCI-FI\NanoTechnology\Step_01\TII_SCIEnrg_NanoTechnologyArmor_Normal_Step1_DESIGNED_04.wav</t>
  </si>
  <si>
    <t>TII_SCIEnrg_NanoTechnologyArmor_Normal_Step1_DESIGNED_05</t>
  </si>
  <si>
    <t>SCI-FI\NanoTechnology\Step_01\TII_SCIEnrg_NanoTechnologyArmor_Normal_Step1_DESIGNED_05.wav</t>
  </si>
  <si>
    <t>TII_SCIEnrg_NanoTechnologyArmor_Normal_Step1_DESIGNED_06</t>
  </si>
  <si>
    <t>SCI-FI\NanoTechnology\Step_01\TII_SCIEnrg_NanoTechnologyArmor_Normal_Step1_DESIGNED_06.wav</t>
  </si>
  <si>
    <t>TII_SCIEnrg_NanoTechnologyArmor_Normal_Step2_DESIGNED_01</t>
  </si>
  <si>
    <t>SCI-FI\NanoTechnology\Step_02\TII_SCIEnrg_NanoTechnologyArmor_Normal_Step2_DESIGNED_01.wav</t>
  </si>
  <si>
    <t>TII_SCIEnrg_NanoTechnologyArmor_Normal_Step2_DESIGNED_02</t>
  </si>
  <si>
    <t>SCI-FI\NanoTechnology\Step_02\TII_SCIEnrg_NanoTechnologyArmor_Normal_Step2_DESIGNED_02.wav</t>
  </si>
  <si>
    <t>TII_SCIEnrg_NanoTechnologyArmor_Normal_Step2_DESIGNED_03</t>
  </si>
  <si>
    <t>SCI-FI\NanoTechnology\Step_02\TII_SCIEnrg_NanoTechnologyArmor_Normal_Step2_DESIGNED_03.wav</t>
  </si>
  <si>
    <t>TII_SCIEnrg_NanoTechnologyArmor_Normal_Step2_DESIGNED_04</t>
  </si>
  <si>
    <t>SCI-FI\NanoTechnology\Step_02\TII_SCIEnrg_NanoTechnologyArmor_Normal_Step2_DESIGNED_04.wav</t>
  </si>
  <si>
    <t>TII_SCIEnrg_NanoTechnologyArmor_Normal_Step2_DESIGNED_05</t>
  </si>
  <si>
    <t>SCI-FI\NanoTechnology\Step_02\TII_SCIEnrg_NanoTechnologyArmor_Normal_Step2_DESIGNED_05.wav</t>
  </si>
  <si>
    <t>TII_SCIEnrg_NanoTechnologyArmor_Normal_Step2_DESIGNED_06</t>
  </si>
  <si>
    <t>SCI-FI\NanoTechnology\Step_02\TII_SCIEnrg_NanoTechnologyArmor_Normal_Step2_DESIGNED_06.wav</t>
  </si>
  <si>
    <t>TII_SCIEnrg_Normal_NanoTechnology_Armor_MixDown_DESIGNED_01</t>
  </si>
  <si>
    <t>SCI-FI\NanoTechnology\Mix_Samples\TII_SCIEnrg_NanoTechnologyArmor_Normal_MixDown_DESIGNED_01.wav</t>
  </si>
  <si>
    <t>TII_SCIEnrg_Normal_NanoTechnology_Armor_MixDown_DESIGNED_02</t>
  </si>
  <si>
    <t>SCI-FI\NanoTechnology\Mix_Samples\TII_SCIEnrg_NanoTechnologyArmor_Normal_MixDown_DESIGNED_02.wav</t>
  </si>
  <si>
    <t>SCI-FI\Misc_\TII_AERORckt_RocketEngineFire_Loop.wav</t>
  </si>
  <si>
    <t>#로켓엔진점화 #우주선추진음 #대기폭발루프 #거대진동음 #화염방출 #백색소음스윕 #우주항해사운드 #심해저음 #RocketEngineFire #ThrusterLoop #SpaceshipPropulsion #AtmosphericRumble #FlameExhaust #WhiteNoiseRoar #ContinuousIgnition #SciFiFlight</t>
  </si>
  <si>
    <t>SCI-FI\Misc_\TII_AERORckt_RocketLaunch_Dynamic.wav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</si>
</sst>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1.13"/>
    <col customWidth="1" min="4" max="4" width="88.63"/>
    <col customWidth="1" min="5" max="5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3" t="str">
        <f>IFERROR(__xludf.DUMMYFUNCTION("IFERROR(INDEX(SPLIT(D2, ""_""), 3),"""")"),"SCIWeap")</f>
        <v>SCIWeap</v>
      </c>
      <c r="C2" s="4" t="str">
        <f>IFERROR(__xludf.DUMMYFUNCTION("IFERROR(REGEXEXTRACT(D2, ""TII.*""), """")"),"TII_SCIWeap_BlackHoleAppear_Complex_Step1_DESIGNED_01.wav")</f>
        <v>TII_SCIWeap_BlackHoleAppear_Complex_Step1_DESIGNED_01.wav</v>
      </c>
      <c r="D2" s="5" t="s">
        <v>9</v>
      </c>
      <c r="E2" s="5" t="s">
        <v>10</v>
      </c>
      <c r="F2" s="5" t="str">
        <f>IFERROR(__xludf.DUMMYFUNCTION("IFERROR(INDEX(SPLIT(D2, ""_""), 5),"""")"),"Complex")</f>
        <v>Complex</v>
      </c>
      <c r="G2" s="4" t="str">
        <f>IFERROR(__xludf.DUMMYFUNCTION("IFERROR(INDEX(SPLIT(D2, ""_""), 6),"""")"),"Step1")</f>
        <v>Step1</v>
      </c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8</v>
      </c>
      <c r="B3" s="3" t="str">
        <f>IFERROR(__xludf.DUMMYFUNCTION("IFERROR(INDEX(SPLIT(D3, ""_""), 3),"""")"),"SCIWeap")</f>
        <v>SCIWeap</v>
      </c>
      <c r="C3" s="4" t="str">
        <f>IFERROR(__xludf.DUMMYFUNCTION("IFERROR(REGEXEXTRACT(D3, ""TII.*""), """")"),"TII_SCIWeap_BlackHoleAppear_Complex_Step1_DESIGNED_02.wav")</f>
        <v>TII_SCIWeap_BlackHoleAppear_Complex_Step1_DESIGNED_02.wav</v>
      </c>
      <c r="D3" s="5" t="s">
        <v>11</v>
      </c>
      <c r="E3" s="5" t="s">
        <v>10</v>
      </c>
      <c r="F3" s="4" t="str">
        <f>IFERROR(__xludf.DUMMYFUNCTION("IFERROR(INDEX(SPLIT(D3, ""_""), 5),"""")"),"Complex")</f>
        <v>Complex</v>
      </c>
      <c r="G3" s="4" t="str">
        <f>IFERROR(__xludf.DUMMYFUNCTION("IFERROR(INDEX(SPLIT(D3, ""_""), 6),"""")"),"Step1")</f>
        <v>Step1</v>
      </c>
      <c r="H3" s="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8</v>
      </c>
      <c r="B4" s="3" t="str">
        <f>IFERROR(__xludf.DUMMYFUNCTION("IFERROR(INDEX(SPLIT(D4, ""_""), 3),"""")"),"SCIWeap")</f>
        <v>SCIWeap</v>
      </c>
      <c r="C4" s="4" t="str">
        <f>IFERROR(__xludf.DUMMYFUNCTION("IFERROR(REGEXEXTRACT(D4, ""TII.*""), """")"),"TII_SCIWeap_BlackHoleAppear_Complex_Step1_DESIGNED_03.wav")</f>
        <v>TII_SCIWeap_BlackHoleAppear_Complex_Step1_DESIGNED_03.wav</v>
      </c>
      <c r="D4" s="5" t="s">
        <v>12</v>
      </c>
      <c r="E4" s="5" t="s">
        <v>10</v>
      </c>
      <c r="F4" s="4" t="str">
        <f>IFERROR(__xludf.DUMMYFUNCTION("IFERROR(INDEX(SPLIT(D4, ""_""), 5),"""")"),"Complex")</f>
        <v>Complex</v>
      </c>
      <c r="G4" s="4" t="str">
        <f>IFERROR(__xludf.DUMMYFUNCTION("IFERROR(INDEX(SPLIT(D4, ""_""), 6),"""")"),"Step1")</f>
        <v>Step1</v>
      </c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8</v>
      </c>
      <c r="B5" s="3" t="str">
        <f>IFERROR(__xludf.DUMMYFUNCTION("IFERROR(INDEX(SPLIT(D5, ""_""), 3),"""")"),"SCIWeap")</f>
        <v>SCIWeap</v>
      </c>
      <c r="C5" s="4" t="str">
        <f>IFERROR(__xludf.DUMMYFUNCTION("IFERROR(REGEXEXTRACT(D5, ""TII.*""), """")"),"TII_SCIWeap_BlackHoleAppear_Complex_Step1_DESIGNED_04.wav")</f>
        <v>TII_SCIWeap_BlackHoleAppear_Complex_Step1_DESIGNED_04.wav</v>
      </c>
      <c r="D5" s="5" t="s">
        <v>13</v>
      </c>
      <c r="E5" s="5" t="s">
        <v>10</v>
      </c>
      <c r="F5" s="4" t="str">
        <f>IFERROR(__xludf.DUMMYFUNCTION("IFERROR(INDEX(SPLIT(D5, ""_""), 5),"""")"),"Complex")</f>
        <v>Complex</v>
      </c>
      <c r="G5" s="4" t="str">
        <f>IFERROR(__xludf.DUMMYFUNCTION("IFERROR(INDEX(SPLIT(D5, ""_""), 6),"""")"),"Step1")</f>
        <v>Step1</v>
      </c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8</v>
      </c>
      <c r="B6" s="3" t="str">
        <f>IFERROR(__xludf.DUMMYFUNCTION("IFERROR(INDEX(SPLIT(D6, ""_""), 3),"""")"),"SCIWeap")</f>
        <v>SCIWeap</v>
      </c>
      <c r="C6" s="4" t="str">
        <f>IFERROR(__xludf.DUMMYFUNCTION("IFERROR(REGEXEXTRACT(D6, ""TII.*""), """")"),"TII_SCIWeap_BlackHoleAppear_Complex_Step1_DESIGNED_05.wav")</f>
        <v>TII_SCIWeap_BlackHoleAppear_Complex_Step1_DESIGNED_05.wav</v>
      </c>
      <c r="D6" s="5" t="s">
        <v>14</v>
      </c>
      <c r="E6" s="5" t="s">
        <v>10</v>
      </c>
      <c r="F6" s="4" t="str">
        <f>IFERROR(__xludf.DUMMYFUNCTION("IFERROR(INDEX(SPLIT(D6, ""_""), 5),"""")"),"Complex")</f>
        <v>Complex</v>
      </c>
      <c r="G6" s="4" t="str">
        <f>IFERROR(__xludf.DUMMYFUNCTION("IFERROR(INDEX(SPLIT(D6, ""_""), 6),"""")"),"Step1")</f>
        <v>Step1</v>
      </c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8</v>
      </c>
      <c r="B7" s="3" t="str">
        <f>IFERROR(__xludf.DUMMYFUNCTION("IFERROR(INDEX(SPLIT(D7, ""_""), 3),"""")"),"SCIWeap")</f>
        <v>SCIWeap</v>
      </c>
      <c r="C7" s="4" t="str">
        <f>IFERROR(__xludf.DUMMYFUNCTION("IFERROR(REGEXEXTRACT(D7, ""TII.*""), """")"),"TII_SCIWeap_BlackHoleAppear_Complex_Step1_DESIGNED_Package.wav")</f>
        <v>TII_SCIWeap_BlackHoleAppear_Complex_Step1_DESIGNED_Package.wav</v>
      </c>
      <c r="D7" s="5" t="s">
        <v>15</v>
      </c>
      <c r="E7" s="5" t="s">
        <v>10</v>
      </c>
      <c r="F7" s="4" t="str">
        <f>IFERROR(__xludf.DUMMYFUNCTION("IFERROR(INDEX(SPLIT(D7, ""_""), 5),"""")"),"Complex")</f>
        <v>Complex</v>
      </c>
      <c r="G7" s="4" t="str">
        <f>IFERROR(__xludf.DUMMYFUNCTION("IFERROR(INDEX(SPLIT(D7, ""_""), 6),"""")"),"Step1")</f>
        <v>Step1</v>
      </c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8</v>
      </c>
      <c r="B8" s="3" t="str">
        <f>IFERROR(__xludf.DUMMYFUNCTION("IFERROR(INDEX(SPLIT(D8, ""_""), 3),"""")"),"SCIWeap")</f>
        <v>SCIWeap</v>
      </c>
      <c r="C8" s="4" t="str">
        <f>IFERROR(__xludf.DUMMYFUNCTION("IFERROR(REGEXEXTRACT(D8, ""TII.*""), """")"),"TII_SCIWeap_SatelliteBeamTrigger_Complex_Step1_DESIGNED_01.wav")</f>
        <v>TII_SCIWeap_SatelliteBeamTrigger_Complex_Step1_DESIGNED_01.wav</v>
      </c>
      <c r="D8" s="5" t="s">
        <v>16</v>
      </c>
      <c r="E8" s="5" t="s">
        <v>17</v>
      </c>
      <c r="F8" s="4" t="str">
        <f>IFERROR(__xludf.DUMMYFUNCTION("IFERROR(INDEX(SPLIT(D8, ""_""), 5),"""")"),"Complex")</f>
        <v>Complex</v>
      </c>
      <c r="G8" s="4" t="str">
        <f>IFERROR(__xludf.DUMMYFUNCTION("IFERROR(INDEX(SPLIT(D8, ""_""), 6),"""")"),"Step1")</f>
        <v>Step1</v>
      </c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8</v>
      </c>
      <c r="B9" s="3" t="str">
        <f>IFERROR(__xludf.DUMMYFUNCTION("IFERROR(INDEX(SPLIT(D9, ""_""), 3),"""")"),"SCIWeap")</f>
        <v>SCIWeap</v>
      </c>
      <c r="C9" s="4" t="str">
        <f>IFERROR(__xludf.DUMMYFUNCTION("IFERROR(REGEXEXTRACT(D9, ""TII.*""), """")"),"TII_SCIWeap_SatelliteBeamTrigger_Complex_Step1_DESIGNED_02.wav")</f>
        <v>TII_SCIWeap_SatelliteBeamTrigger_Complex_Step1_DESIGNED_02.wav</v>
      </c>
      <c r="D9" s="5" t="s">
        <v>18</v>
      </c>
      <c r="E9" s="5" t="s">
        <v>17</v>
      </c>
      <c r="F9" s="4" t="str">
        <f>IFERROR(__xludf.DUMMYFUNCTION("IFERROR(INDEX(SPLIT(D9, ""_""), 5),"""")"),"Complex")</f>
        <v>Complex</v>
      </c>
      <c r="G9" s="4" t="str">
        <f>IFERROR(__xludf.DUMMYFUNCTION("IFERROR(INDEX(SPLIT(D9, ""_""), 6),"""")"),"Step1")</f>
        <v>Step1</v>
      </c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8</v>
      </c>
      <c r="B10" s="3" t="str">
        <f>IFERROR(__xludf.DUMMYFUNCTION("IFERROR(INDEX(SPLIT(D10, ""_""), 3),"""")"),"SCIWeap")</f>
        <v>SCIWeap</v>
      </c>
      <c r="C10" s="4" t="str">
        <f>IFERROR(__xludf.DUMMYFUNCTION("IFERROR(REGEXEXTRACT(D10, ""TII.*""), """")"),"TII_SCIWeap_SatelliteBeamTrigger_Complex_Step1_DESIGNED_03.wav")</f>
        <v>TII_SCIWeap_SatelliteBeamTrigger_Complex_Step1_DESIGNED_03.wav</v>
      </c>
      <c r="D10" s="5" t="s">
        <v>19</v>
      </c>
      <c r="E10" s="5" t="s">
        <v>17</v>
      </c>
      <c r="F10" s="4" t="str">
        <f>IFERROR(__xludf.DUMMYFUNCTION("IFERROR(INDEX(SPLIT(D10, ""_""), 5),"""")"),"Complex")</f>
        <v>Complex</v>
      </c>
      <c r="G10" s="4" t="str">
        <f>IFERROR(__xludf.DUMMYFUNCTION("IFERROR(INDEX(SPLIT(D10, ""_""), 6),"""")"),"Step1")</f>
        <v>Step1</v>
      </c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8</v>
      </c>
      <c r="B11" s="3" t="str">
        <f>IFERROR(__xludf.DUMMYFUNCTION("IFERROR(INDEX(SPLIT(D11, ""_""), 3),"""")"),"SCIWeap")</f>
        <v>SCIWeap</v>
      </c>
      <c r="C11" s="4" t="str">
        <f>IFERROR(__xludf.DUMMYFUNCTION("IFERROR(REGEXEXTRACT(D11, ""TII.*""), """")"),"TII_SCIWeap_SatelliteBeamTrigger_Complex_Step1_DESIGNED_04.wav")</f>
        <v>TII_SCIWeap_SatelliteBeamTrigger_Complex_Step1_DESIGNED_04.wav</v>
      </c>
      <c r="D11" s="5" t="s">
        <v>20</v>
      </c>
      <c r="E11" s="5" t="s">
        <v>17</v>
      </c>
      <c r="F11" s="4" t="str">
        <f>IFERROR(__xludf.DUMMYFUNCTION("IFERROR(INDEX(SPLIT(D11, ""_""), 5),"""")"),"Complex")</f>
        <v>Complex</v>
      </c>
      <c r="G11" s="4" t="str">
        <f>IFERROR(__xludf.DUMMYFUNCTION("IFERROR(INDEX(SPLIT(D11, ""_""), 6),"""")"),"Step1")</f>
        <v>Step1</v>
      </c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8</v>
      </c>
      <c r="B12" s="3" t="str">
        <f>IFERROR(__xludf.DUMMYFUNCTION("IFERROR(INDEX(SPLIT(D12, ""_""), 3),"""")"),"SCIWeap")</f>
        <v>SCIWeap</v>
      </c>
      <c r="C12" s="4" t="str">
        <f>IFERROR(__xludf.DUMMYFUNCTION("IFERROR(REGEXEXTRACT(D12, ""TII.*""), """")"),"TII_SCIWeap_SatelliteBeamTrigger_Complex_Step1_DESIGNED_05.wav")</f>
        <v>TII_SCIWeap_SatelliteBeamTrigger_Complex_Step1_DESIGNED_05.wav</v>
      </c>
      <c r="D12" s="5" t="s">
        <v>21</v>
      </c>
      <c r="E12" s="5" t="s">
        <v>17</v>
      </c>
      <c r="F12" s="4" t="str">
        <f>IFERROR(__xludf.DUMMYFUNCTION("IFERROR(INDEX(SPLIT(D12, ""_""), 5),"""")"),"Complex")</f>
        <v>Complex</v>
      </c>
      <c r="G12" s="4" t="str">
        <f>IFERROR(__xludf.DUMMYFUNCTION("IFERROR(INDEX(SPLIT(D12, ""_""), 6),"""")"),"Step1")</f>
        <v>Step1</v>
      </c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8</v>
      </c>
      <c r="B13" s="3" t="str">
        <f>IFERROR(__xludf.DUMMYFUNCTION("IFERROR(INDEX(SPLIT(D13, ""_""), 3),"""")"),"SCIWeap")</f>
        <v>SCIWeap</v>
      </c>
      <c r="C13" s="4" t="str">
        <f>IFERROR(__xludf.DUMMYFUNCTION("IFERROR(REGEXEXTRACT(D13, ""TII.*""), """")"),"TII_SCIWeap_SatelliteBeamTrigger_Complex_Step1_DESIGNED_06.wav")</f>
        <v>TII_SCIWeap_SatelliteBeamTrigger_Complex_Step1_DESIGNED_06.wav</v>
      </c>
      <c r="D13" s="5" t="s">
        <v>22</v>
      </c>
      <c r="E13" s="5" t="s">
        <v>17</v>
      </c>
      <c r="F13" s="4" t="str">
        <f>IFERROR(__xludf.DUMMYFUNCTION("IFERROR(INDEX(SPLIT(D13, ""_""), 5),"""")"),"Complex")</f>
        <v>Complex</v>
      </c>
      <c r="G13" s="4" t="str">
        <f>IFERROR(__xludf.DUMMYFUNCTION("IFERROR(INDEX(SPLIT(D13, ""_""), 6),"""")"),"Step1")</f>
        <v>Step1</v>
      </c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8</v>
      </c>
      <c r="B14" s="3" t="str">
        <f>IFERROR(__xludf.DUMMYFUNCTION("IFERROR(INDEX(SPLIT(D14, ""_""), 3),"""")"),"SCIWeap")</f>
        <v>SCIWeap</v>
      </c>
      <c r="C14" s="4" t="str">
        <f>IFERROR(__xludf.DUMMYFUNCTION("IFERROR(REGEXEXTRACT(D14, ""TII.*""), """")"),"TII_SCIWeap_SatelliteBeamTrigger_Complex_Step1_DESIGNED_07.wav")</f>
        <v>TII_SCIWeap_SatelliteBeamTrigger_Complex_Step1_DESIGNED_07.wav</v>
      </c>
      <c r="D14" s="5" t="s">
        <v>23</v>
      </c>
      <c r="E14" s="5" t="s">
        <v>17</v>
      </c>
      <c r="F14" s="4" t="str">
        <f>IFERROR(__xludf.DUMMYFUNCTION("IFERROR(INDEX(SPLIT(D14, ""_""), 5),"""")"),"Complex")</f>
        <v>Complex</v>
      </c>
      <c r="G14" s="4" t="str">
        <f>IFERROR(__xludf.DUMMYFUNCTION("IFERROR(INDEX(SPLIT(D14, ""_""), 6),"""")"),"Step1")</f>
        <v>Step1</v>
      </c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8</v>
      </c>
      <c r="B15" s="3" t="str">
        <f>IFERROR(__xludf.DUMMYFUNCTION("IFERROR(INDEX(SPLIT(D15, ""_""), 3),"""")"),"SCIWeap")</f>
        <v>SCIWeap</v>
      </c>
      <c r="C15" s="4" t="str">
        <f>IFERROR(__xludf.DUMMYFUNCTION("IFERROR(REGEXEXTRACT(D15, ""TII.*""), """")"),"TII_SCIWeap_SatelliteBeamTrigger_Complex_Step1_DESIGNED_08.wav")</f>
        <v>TII_SCIWeap_SatelliteBeamTrigger_Complex_Step1_DESIGNED_08.wav</v>
      </c>
      <c r="D15" s="5" t="s">
        <v>24</v>
      </c>
      <c r="E15" s="5" t="s">
        <v>17</v>
      </c>
      <c r="F15" s="4" t="str">
        <f>IFERROR(__xludf.DUMMYFUNCTION("IFERROR(INDEX(SPLIT(D15, ""_""), 5),"""")"),"Complex")</f>
        <v>Complex</v>
      </c>
      <c r="G15" s="4" t="str">
        <f>IFERROR(__xludf.DUMMYFUNCTION("IFERROR(INDEX(SPLIT(D15, ""_""), 6),"""")"),"Step1")</f>
        <v>Step1</v>
      </c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8</v>
      </c>
      <c r="B16" s="3" t="str">
        <f>IFERROR(__xludf.DUMMYFUNCTION("IFERROR(INDEX(SPLIT(D16, ""_""), 3),"""")"),"SCIWeap")</f>
        <v>SCIWeap</v>
      </c>
      <c r="C16" s="4" t="str">
        <f>IFERROR(__xludf.DUMMYFUNCTION("IFERROR(REGEXEXTRACT(D16, ""TII.*""), """")"),"TII_SCIWeap_SatelliteBeamTrigger_Complex_Step1_DESIGNED_Package.wav")</f>
        <v>TII_SCIWeap_SatelliteBeamTrigger_Complex_Step1_DESIGNED_Package.wav</v>
      </c>
      <c r="D16" s="5" t="s">
        <v>25</v>
      </c>
      <c r="E16" s="5" t="s">
        <v>17</v>
      </c>
      <c r="F16" s="4" t="str">
        <f>IFERROR(__xludf.DUMMYFUNCTION("IFERROR(INDEX(SPLIT(D16, ""_""), 5),"""")"),"Complex")</f>
        <v>Complex</v>
      </c>
      <c r="G16" s="4" t="str">
        <f>IFERROR(__xludf.DUMMYFUNCTION("IFERROR(INDEX(SPLIT(D16, ""_""), 6),"""")"),"Step1")</f>
        <v>Step1</v>
      </c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8</v>
      </c>
      <c r="B17" s="3" t="str">
        <f>IFERROR(__xludf.DUMMYFUNCTION("IFERROR(INDEX(SPLIT(D17, ""_""), 3),"""")"),"SCIWeap")</f>
        <v>SCIWeap</v>
      </c>
      <c r="C17" s="4" t="str">
        <f>IFERROR(__xludf.DUMMYFUNCTION("IFERROR(REGEXEXTRACT(D17, ""TII.*""), """")"),"TII_SCIWeap_ChargeCannonTrigger_Normal_Step1_DESIGNED_01.wav")</f>
        <v>TII_SCIWeap_ChargeCannonTrigger_Normal_Step1_DESIGNED_01.wav</v>
      </c>
      <c r="D17" s="5" t="s">
        <v>26</v>
      </c>
      <c r="E17" s="5" t="s">
        <v>27</v>
      </c>
      <c r="F17" s="4" t="str">
        <f>IFERROR(__xludf.DUMMYFUNCTION("IFERROR(INDEX(SPLIT(D17, ""_""), 5),"""")"),"Normal")</f>
        <v>Normal</v>
      </c>
      <c r="G17" s="4" t="str">
        <f>IFERROR(__xludf.DUMMYFUNCTION("IFERROR(INDEX(SPLIT(D17, ""_""), 6),"""")"),"Step1")</f>
        <v>Step1</v>
      </c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8</v>
      </c>
      <c r="B18" s="3" t="str">
        <f>IFERROR(__xludf.DUMMYFUNCTION("IFERROR(INDEX(SPLIT(D18, ""_""), 3),"""")"),"SCIWeap")</f>
        <v>SCIWeap</v>
      </c>
      <c r="C18" s="4" t="str">
        <f>IFERROR(__xludf.DUMMYFUNCTION("IFERROR(REGEXEXTRACT(D18, ""TII.*""), """")"),"TII_SCIWeap_ChargeCannonTrigger_Normal_Step1_DESIGNED_02.wav")</f>
        <v>TII_SCIWeap_ChargeCannonTrigger_Normal_Step1_DESIGNED_02.wav</v>
      </c>
      <c r="D18" s="5" t="s">
        <v>28</v>
      </c>
      <c r="E18" s="5" t="s">
        <v>27</v>
      </c>
      <c r="F18" s="4" t="str">
        <f>IFERROR(__xludf.DUMMYFUNCTION("IFERROR(INDEX(SPLIT(D18, ""_""), 5),"""")"),"Normal")</f>
        <v>Normal</v>
      </c>
      <c r="G18" s="4" t="str">
        <f>IFERROR(__xludf.DUMMYFUNCTION("IFERROR(INDEX(SPLIT(D18, ""_""), 6),"""")"),"Step1")</f>
        <v>Step1</v>
      </c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8</v>
      </c>
      <c r="B19" s="3" t="str">
        <f>IFERROR(__xludf.DUMMYFUNCTION("IFERROR(INDEX(SPLIT(D19, ""_""), 3),"""")"),"SCIWeap")</f>
        <v>SCIWeap</v>
      </c>
      <c r="C19" s="4" t="str">
        <f>IFERROR(__xludf.DUMMYFUNCTION("IFERROR(REGEXEXTRACT(D19, ""TII.*""), """")"),"TII_SCIWeap_ChargeCannonTrigger_Normal_Step1_DESIGNED_03.wav")</f>
        <v>TII_SCIWeap_ChargeCannonTrigger_Normal_Step1_DESIGNED_03.wav</v>
      </c>
      <c r="D19" s="5" t="s">
        <v>29</v>
      </c>
      <c r="E19" s="5" t="s">
        <v>27</v>
      </c>
      <c r="F19" s="4" t="str">
        <f>IFERROR(__xludf.DUMMYFUNCTION("IFERROR(INDEX(SPLIT(D19, ""_""), 5),"""")"),"Normal")</f>
        <v>Normal</v>
      </c>
      <c r="G19" s="4" t="str">
        <f>IFERROR(__xludf.DUMMYFUNCTION("IFERROR(INDEX(SPLIT(D19, ""_""), 6),"""")"),"Step1")</f>
        <v>Step1</v>
      </c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8</v>
      </c>
      <c r="B20" s="3" t="str">
        <f>IFERROR(__xludf.DUMMYFUNCTION("IFERROR(INDEX(SPLIT(D20, ""_""), 3),"""")"),"SCIWeap")</f>
        <v>SCIWeap</v>
      </c>
      <c r="C20" s="4" t="str">
        <f>IFERROR(__xludf.DUMMYFUNCTION("IFERROR(REGEXEXTRACT(D20, ""TII.*""), """")"),"TII_SCIWeap_ChargeCannonTrigger_Normal_Step1_DESIGNED_04.wav")</f>
        <v>TII_SCIWeap_ChargeCannonTrigger_Normal_Step1_DESIGNED_04.wav</v>
      </c>
      <c r="D20" s="5" t="s">
        <v>30</v>
      </c>
      <c r="E20" s="5" t="s">
        <v>27</v>
      </c>
      <c r="F20" s="4" t="str">
        <f>IFERROR(__xludf.DUMMYFUNCTION("IFERROR(INDEX(SPLIT(D20, ""_""), 5),"""")"),"Normal")</f>
        <v>Normal</v>
      </c>
      <c r="G20" s="4" t="str">
        <f>IFERROR(__xludf.DUMMYFUNCTION("IFERROR(INDEX(SPLIT(D20, ""_""), 6),"""")"),"Step1")</f>
        <v>Step1</v>
      </c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8</v>
      </c>
      <c r="B21" s="3" t="str">
        <f>IFERROR(__xludf.DUMMYFUNCTION("IFERROR(INDEX(SPLIT(D21, ""_""), 3),"""")"),"SCIWeap")</f>
        <v>SCIWeap</v>
      </c>
      <c r="C21" s="4" t="str">
        <f>IFERROR(__xludf.DUMMYFUNCTION("IFERROR(REGEXEXTRACT(D21, ""TII.*""), """")"),"TII_SCIWeap_ChargeCannonTrigger_Normal_Step1_DESIGNED_05.wav")</f>
        <v>TII_SCIWeap_ChargeCannonTrigger_Normal_Step1_DESIGNED_05.wav</v>
      </c>
      <c r="D21" s="5" t="s">
        <v>31</v>
      </c>
      <c r="E21" s="5" t="s">
        <v>27</v>
      </c>
      <c r="F21" s="4" t="str">
        <f>IFERROR(__xludf.DUMMYFUNCTION("IFERROR(INDEX(SPLIT(D21, ""_""), 5),"""")"),"Normal")</f>
        <v>Normal</v>
      </c>
      <c r="G21" s="4" t="str">
        <f>IFERROR(__xludf.DUMMYFUNCTION("IFERROR(INDEX(SPLIT(D21, ""_""), 6),"""")"),"Step1")</f>
        <v>Step1</v>
      </c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8</v>
      </c>
      <c r="B22" s="3" t="str">
        <f>IFERROR(__xludf.DUMMYFUNCTION("IFERROR(INDEX(SPLIT(D22, ""_""), 3),"""")"),"SCIWeap")</f>
        <v>SCIWeap</v>
      </c>
      <c r="C22" s="4" t="str">
        <f>IFERROR(__xludf.DUMMYFUNCTION("IFERROR(REGEXEXTRACT(D22, ""TII.*""), """")"),"TII_SCIWeap_ChargeCannonTrigger_Normal_Step1_DESIGNED_06.wav")</f>
        <v>TII_SCIWeap_ChargeCannonTrigger_Normal_Step1_DESIGNED_06.wav</v>
      </c>
      <c r="D22" s="5" t="s">
        <v>32</v>
      </c>
      <c r="E22" s="5" t="s">
        <v>27</v>
      </c>
      <c r="F22" s="4" t="str">
        <f>IFERROR(__xludf.DUMMYFUNCTION("IFERROR(INDEX(SPLIT(D22, ""_""), 5),"""")"),"Normal")</f>
        <v>Normal</v>
      </c>
      <c r="G22" s="4" t="str">
        <f>IFERROR(__xludf.DUMMYFUNCTION("IFERROR(INDEX(SPLIT(D22, ""_""), 6),"""")"),"Step1")</f>
        <v>Step1</v>
      </c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8</v>
      </c>
      <c r="B23" s="3" t="str">
        <f>IFERROR(__xludf.DUMMYFUNCTION("IFERROR(INDEX(SPLIT(D23, ""_""), 3),"""")"),"SCIWeap")</f>
        <v>SCIWeap</v>
      </c>
      <c r="C23" s="4" t="str">
        <f>IFERROR(__xludf.DUMMYFUNCTION("IFERROR(REGEXEXTRACT(D23, ""TII.*""), """")"),"TII_SCIWeap_ChargeCannonTrigger_Normal_Step1_DESIGNED_07.wav")</f>
        <v>TII_SCIWeap_ChargeCannonTrigger_Normal_Step1_DESIGNED_07.wav</v>
      </c>
      <c r="D23" s="5" t="s">
        <v>33</v>
      </c>
      <c r="E23" s="5" t="s">
        <v>27</v>
      </c>
      <c r="F23" s="4" t="str">
        <f>IFERROR(__xludf.DUMMYFUNCTION("IFERROR(INDEX(SPLIT(D23, ""_""), 5),"""")"),"Normal")</f>
        <v>Normal</v>
      </c>
      <c r="G23" s="4" t="str">
        <f>IFERROR(__xludf.DUMMYFUNCTION("IFERROR(INDEX(SPLIT(D23, ""_""), 6),"""")"),"Step1")</f>
        <v>Step1</v>
      </c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8</v>
      </c>
      <c r="B24" s="3" t="str">
        <f>IFERROR(__xludf.DUMMYFUNCTION("IFERROR(INDEX(SPLIT(D24, ""_""), 3),"""")"),"SCIWeap")</f>
        <v>SCIWeap</v>
      </c>
      <c r="C24" s="4" t="str">
        <f>IFERROR(__xludf.DUMMYFUNCTION("IFERROR(REGEXEXTRACT(D24, ""TII.*""), """")"),"TII_SCIWeap_ChargeCannonTrigger_Normal_Step1_DESIGNED_08.wav")</f>
        <v>TII_SCIWeap_ChargeCannonTrigger_Normal_Step1_DESIGNED_08.wav</v>
      </c>
      <c r="D24" s="5" t="s">
        <v>34</v>
      </c>
      <c r="E24" s="5" t="s">
        <v>27</v>
      </c>
      <c r="F24" s="4" t="str">
        <f>IFERROR(__xludf.DUMMYFUNCTION("IFERROR(INDEX(SPLIT(D24, ""_""), 5),"""")"),"Normal")</f>
        <v>Normal</v>
      </c>
      <c r="G24" s="4" t="str">
        <f>IFERROR(__xludf.DUMMYFUNCTION("IFERROR(INDEX(SPLIT(D24, ""_""), 6),"""")"),"Step1")</f>
        <v>Step1</v>
      </c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 t="s">
        <v>8</v>
      </c>
      <c r="B25" s="3" t="str">
        <f>IFERROR(__xludf.DUMMYFUNCTION("IFERROR(INDEX(SPLIT(D25, ""_""), 3),"""")"),"SCIWeap")</f>
        <v>SCIWeap</v>
      </c>
      <c r="C25" s="4" t="str">
        <f>IFERROR(__xludf.DUMMYFUNCTION("IFERROR(REGEXEXTRACT(D25, ""TII.*""), """")"),"TII_SCIWeap_ChargeCannonTrigger_Normal_Step1_DESIGNED_Package.wav")</f>
        <v>TII_SCIWeap_ChargeCannonTrigger_Normal_Step1_DESIGNED_Package.wav</v>
      </c>
      <c r="D25" s="5" t="s">
        <v>35</v>
      </c>
      <c r="E25" s="5" t="s">
        <v>27</v>
      </c>
      <c r="F25" s="4" t="str">
        <f>IFERROR(__xludf.DUMMYFUNCTION("IFERROR(INDEX(SPLIT(D25, ""_""), 5),"""")"),"Normal")</f>
        <v>Normal</v>
      </c>
      <c r="G25" s="4" t="str">
        <f>IFERROR(__xludf.DUMMYFUNCTION("IFERROR(INDEX(SPLIT(D25, ""_""), 6),"""")"),"Step1")</f>
        <v>Step1</v>
      </c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8</v>
      </c>
      <c r="B26" s="3" t="str">
        <f>IFERROR(__xludf.DUMMYFUNCTION("IFERROR(INDEX(SPLIT(D26, ""_""), 3),"""")"),"SCIWeap")</f>
        <v>SCIWeap</v>
      </c>
      <c r="C26" s="4" t="str">
        <f>IFERROR(__xludf.DUMMYFUNCTION("IFERROR(REGEXEXTRACT(D26, ""TII.*""), """")"),"TII_SCIWeap_SCIFIArrowMaking_Normal_Step1_DESIGNED_01.wav")</f>
        <v>TII_SCIWeap_SCIFIArrowMaking_Normal_Step1_DESIGNED_01.wav</v>
      </c>
      <c r="D26" s="5" t="s">
        <v>36</v>
      </c>
      <c r="E26" s="5" t="s">
        <v>37</v>
      </c>
      <c r="F26" s="4" t="str">
        <f>IFERROR(__xludf.DUMMYFUNCTION("IFERROR(INDEX(SPLIT(D26, ""_""), 5),"""")"),"Normal")</f>
        <v>Normal</v>
      </c>
      <c r="G26" s="4" t="str">
        <f>IFERROR(__xludf.DUMMYFUNCTION("IFERROR(INDEX(SPLIT(D26, ""_""), 6),"""")"),"Step1")</f>
        <v>Step1</v>
      </c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 t="s">
        <v>8</v>
      </c>
      <c r="B27" s="3" t="str">
        <f>IFERROR(__xludf.DUMMYFUNCTION("IFERROR(INDEX(SPLIT(D27, ""_""), 3),"""")"),"SCIWeap")</f>
        <v>SCIWeap</v>
      </c>
      <c r="C27" s="4" t="str">
        <f>IFERROR(__xludf.DUMMYFUNCTION("IFERROR(REGEXEXTRACT(D27, ""TII.*""), """")"),"TII_SCIWeap_SCIFIArrowMaking_Normal_Step1_DESIGNED_02.wav")</f>
        <v>TII_SCIWeap_SCIFIArrowMaking_Normal_Step1_DESIGNED_02.wav</v>
      </c>
      <c r="D27" s="5" t="s">
        <v>38</v>
      </c>
      <c r="E27" s="5" t="s">
        <v>37</v>
      </c>
      <c r="F27" s="4" t="str">
        <f>IFERROR(__xludf.DUMMYFUNCTION("IFERROR(INDEX(SPLIT(D27, ""_""), 5),"""")"),"Normal")</f>
        <v>Normal</v>
      </c>
      <c r="G27" s="4" t="str">
        <f>IFERROR(__xludf.DUMMYFUNCTION("IFERROR(INDEX(SPLIT(D27, ""_""), 6),"""")"),"Step1")</f>
        <v>Step1</v>
      </c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 t="s">
        <v>8</v>
      </c>
      <c r="B28" s="3" t="str">
        <f>IFERROR(__xludf.DUMMYFUNCTION("IFERROR(INDEX(SPLIT(D28, ""_""), 3),"""")"),"SCIWeap")</f>
        <v>SCIWeap</v>
      </c>
      <c r="C28" s="4" t="str">
        <f>IFERROR(__xludf.DUMMYFUNCTION("IFERROR(REGEXEXTRACT(D28, ""TII.*""), """")"),"TII_SCIWeap_SCIFIArrowMaking_Normal_Step1_DESIGNED_03.wav")</f>
        <v>TII_SCIWeap_SCIFIArrowMaking_Normal_Step1_DESIGNED_03.wav</v>
      </c>
      <c r="D28" s="5" t="s">
        <v>39</v>
      </c>
      <c r="E28" s="5" t="s">
        <v>37</v>
      </c>
      <c r="F28" s="4" t="str">
        <f>IFERROR(__xludf.DUMMYFUNCTION("IFERROR(INDEX(SPLIT(D28, ""_""), 5),"""")"),"Normal")</f>
        <v>Normal</v>
      </c>
      <c r="G28" s="4" t="str">
        <f>IFERROR(__xludf.DUMMYFUNCTION("IFERROR(INDEX(SPLIT(D28, ""_""), 6),"""")"),"Step1")</f>
        <v>Step1</v>
      </c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" t="s">
        <v>8</v>
      </c>
      <c r="B29" s="3" t="str">
        <f>IFERROR(__xludf.DUMMYFUNCTION("IFERROR(INDEX(SPLIT(D29, ""_""), 3),"""")"),"SCIWeap")</f>
        <v>SCIWeap</v>
      </c>
      <c r="C29" s="4" t="str">
        <f>IFERROR(__xludf.DUMMYFUNCTION("IFERROR(REGEXEXTRACT(D29, ""TII.*""), """")"),"TII_SCIWeap_SCIFIArrowMaking_Normal_Step1_DESIGNED_04.wav")</f>
        <v>TII_SCIWeap_SCIFIArrowMaking_Normal_Step1_DESIGNED_04.wav</v>
      </c>
      <c r="D29" s="5" t="s">
        <v>40</v>
      </c>
      <c r="E29" s="5" t="s">
        <v>37</v>
      </c>
      <c r="F29" s="4" t="str">
        <f>IFERROR(__xludf.DUMMYFUNCTION("IFERROR(INDEX(SPLIT(D29, ""_""), 5),"""")"),"Normal")</f>
        <v>Normal</v>
      </c>
      <c r="G29" s="4" t="str">
        <f>IFERROR(__xludf.DUMMYFUNCTION("IFERROR(INDEX(SPLIT(D29, ""_""), 6),"""")"),"Step1")</f>
        <v>Step1</v>
      </c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 t="s">
        <v>8</v>
      </c>
      <c r="B30" s="3" t="str">
        <f>IFERROR(__xludf.DUMMYFUNCTION("IFERROR(INDEX(SPLIT(D30, ""_""), 3),"""")"),"SCIWeap")</f>
        <v>SCIWeap</v>
      </c>
      <c r="C30" s="4" t="str">
        <f>IFERROR(__xludf.DUMMYFUNCTION("IFERROR(REGEXEXTRACT(D30, ""TII.*""), """")"),"TII_SCIWeap_SCIFIArrowMaking_Normal_Step1_DESIGNED_05.wav")</f>
        <v>TII_SCIWeap_SCIFIArrowMaking_Normal_Step1_DESIGNED_05.wav</v>
      </c>
      <c r="D30" s="5" t="s">
        <v>41</v>
      </c>
      <c r="E30" s="5" t="s">
        <v>37</v>
      </c>
      <c r="F30" s="4" t="str">
        <f>IFERROR(__xludf.DUMMYFUNCTION("IFERROR(INDEX(SPLIT(D30, ""_""), 5),"""")"),"Normal")</f>
        <v>Normal</v>
      </c>
      <c r="G30" s="4" t="str">
        <f>IFERROR(__xludf.DUMMYFUNCTION("IFERROR(INDEX(SPLIT(D30, ""_""), 6),"""")"),"Step1")</f>
        <v>Step1</v>
      </c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" t="s">
        <v>8</v>
      </c>
      <c r="B31" s="3" t="str">
        <f>IFERROR(__xludf.DUMMYFUNCTION("IFERROR(INDEX(SPLIT(D31, ""_""), 3),"""")"),"SCIWeap")</f>
        <v>SCIWeap</v>
      </c>
      <c r="C31" s="4" t="str">
        <f>IFERROR(__xludf.DUMMYFUNCTION("IFERROR(REGEXEXTRACT(D31, ""TII.*""), """")"),"TII_SCIWeap_SCIFIArrowMaking_Normal_Step1_DESIGNED_Package.wav")</f>
        <v>TII_SCIWeap_SCIFIArrowMaking_Normal_Step1_DESIGNED_Package.wav</v>
      </c>
      <c r="D31" s="5" t="s">
        <v>42</v>
      </c>
      <c r="E31" s="5" t="s">
        <v>37</v>
      </c>
      <c r="F31" s="4" t="str">
        <f>IFERROR(__xludf.DUMMYFUNCTION("IFERROR(INDEX(SPLIT(D31, ""_""), 5),"""")"),"Normal")</f>
        <v>Normal</v>
      </c>
      <c r="G31" s="4" t="str">
        <f>IFERROR(__xludf.DUMMYFUNCTION("IFERROR(INDEX(SPLIT(D31, ""_""), 6),"""")"),"Step1")</f>
        <v>Step1</v>
      </c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8</v>
      </c>
      <c r="B32" s="3" t="str">
        <f>IFERROR(__xludf.DUMMYFUNCTION("IFERROR(INDEX(SPLIT(D32, ""_""), 3),"""")"),"SCIWeap")</f>
        <v>SCIWeap</v>
      </c>
      <c r="C32" s="4" t="str">
        <f>IFERROR(__xludf.DUMMYFUNCTION("IFERROR(REGEXEXTRACT(D32, ""TII.*""), """")"),"TII_SCIWeap_LaserGunShoot_Simple_Step1_DESIGNED_01.wav")</f>
        <v>TII_SCIWeap_LaserGunShoot_Simple_Step1_DESIGNED_01.wav</v>
      </c>
      <c r="D32" s="5" t="s">
        <v>43</v>
      </c>
      <c r="E32" s="5" t="s">
        <v>44</v>
      </c>
      <c r="F32" s="4" t="str">
        <f>IFERROR(__xludf.DUMMYFUNCTION("IFERROR(INDEX(SPLIT(D32, ""_""), 5),"""")"),"Simple")</f>
        <v>Simple</v>
      </c>
      <c r="G32" s="4" t="str">
        <f>IFERROR(__xludf.DUMMYFUNCTION("IFERROR(INDEX(SPLIT(D32, ""_""), 6),"""")"),"Step1")</f>
        <v>Step1</v>
      </c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" t="s">
        <v>8</v>
      </c>
      <c r="B33" s="3" t="str">
        <f>IFERROR(__xludf.DUMMYFUNCTION("IFERROR(INDEX(SPLIT(D33, ""_""), 3),"""")"),"SCIWeap")</f>
        <v>SCIWeap</v>
      </c>
      <c r="C33" s="4" t="str">
        <f>IFERROR(__xludf.DUMMYFUNCTION("IFERROR(REGEXEXTRACT(D33, ""TII.*""), """")"),"TII_SCIWeap_LaserGunShoot_Simple_Step1_DESIGNED_02.wav")</f>
        <v>TII_SCIWeap_LaserGunShoot_Simple_Step1_DESIGNED_02.wav</v>
      </c>
      <c r="D33" s="5" t="s">
        <v>45</v>
      </c>
      <c r="E33" s="5" t="s">
        <v>44</v>
      </c>
      <c r="F33" s="4" t="str">
        <f>IFERROR(__xludf.DUMMYFUNCTION("IFERROR(INDEX(SPLIT(D33, ""_""), 5),"""")"),"Simple")</f>
        <v>Simple</v>
      </c>
      <c r="G33" s="4" t="str">
        <f>IFERROR(__xludf.DUMMYFUNCTION("IFERROR(INDEX(SPLIT(D33, ""_""), 6),"""")"),"Step1")</f>
        <v>Step1</v>
      </c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" t="s">
        <v>8</v>
      </c>
      <c r="B34" s="3" t="str">
        <f>IFERROR(__xludf.DUMMYFUNCTION("IFERROR(INDEX(SPLIT(D34, ""_""), 3),"""")"),"SCIWeap")</f>
        <v>SCIWeap</v>
      </c>
      <c r="C34" s="4" t="str">
        <f>IFERROR(__xludf.DUMMYFUNCTION("IFERROR(REGEXEXTRACT(D34, ""TII.*""), """")"),"TII_SCIWeap_LaserGunShoot_Simple_Step1_DESIGNED_03.wav")</f>
        <v>TII_SCIWeap_LaserGunShoot_Simple_Step1_DESIGNED_03.wav</v>
      </c>
      <c r="D34" s="5" t="s">
        <v>46</v>
      </c>
      <c r="E34" s="5" t="s">
        <v>44</v>
      </c>
      <c r="F34" s="4" t="str">
        <f>IFERROR(__xludf.DUMMYFUNCTION("IFERROR(INDEX(SPLIT(D34, ""_""), 5),"""")"),"Simple")</f>
        <v>Simple</v>
      </c>
      <c r="G34" s="4" t="str">
        <f>IFERROR(__xludf.DUMMYFUNCTION("IFERROR(INDEX(SPLIT(D34, ""_""), 6),"""")"),"Step1")</f>
        <v>Step1</v>
      </c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" t="s">
        <v>8</v>
      </c>
      <c r="B35" s="3" t="str">
        <f>IFERROR(__xludf.DUMMYFUNCTION("IFERROR(INDEX(SPLIT(D35, ""_""), 3),"""")"),"SCIWeap")</f>
        <v>SCIWeap</v>
      </c>
      <c r="C35" s="4" t="str">
        <f>IFERROR(__xludf.DUMMYFUNCTION("IFERROR(REGEXEXTRACT(D35, ""TII.*""), """")"),"TII_SCIWeap_LaserGunShoot_Simple_Step1_DESIGNED_04.wav")</f>
        <v>TII_SCIWeap_LaserGunShoot_Simple_Step1_DESIGNED_04.wav</v>
      </c>
      <c r="D35" s="5" t="s">
        <v>47</v>
      </c>
      <c r="E35" s="5" t="s">
        <v>44</v>
      </c>
      <c r="F35" s="4" t="str">
        <f>IFERROR(__xludf.DUMMYFUNCTION("IFERROR(INDEX(SPLIT(D35, ""_""), 5),"""")"),"Simple")</f>
        <v>Simple</v>
      </c>
      <c r="G35" s="4" t="str">
        <f>IFERROR(__xludf.DUMMYFUNCTION("IFERROR(INDEX(SPLIT(D35, ""_""), 6),"""")"),"Step1")</f>
        <v>Step1</v>
      </c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" t="s">
        <v>8</v>
      </c>
      <c r="B36" s="3" t="str">
        <f>IFERROR(__xludf.DUMMYFUNCTION("IFERROR(INDEX(SPLIT(D36, ""_""), 3),"""")"),"SCIWeap")</f>
        <v>SCIWeap</v>
      </c>
      <c r="C36" s="4" t="str">
        <f>IFERROR(__xludf.DUMMYFUNCTION("IFERROR(REGEXEXTRACT(D36, ""TII.*""), """")"),"TII_SCIWeap_LaserGunShoot_Simple_Step1_DESIGNED_05.wav")</f>
        <v>TII_SCIWeap_LaserGunShoot_Simple_Step1_DESIGNED_05.wav</v>
      </c>
      <c r="D36" s="5" t="s">
        <v>48</v>
      </c>
      <c r="E36" s="5" t="s">
        <v>44</v>
      </c>
      <c r="F36" s="4" t="str">
        <f>IFERROR(__xludf.DUMMYFUNCTION("IFERROR(INDEX(SPLIT(D36, ""_""), 5),"""")"),"Simple")</f>
        <v>Simple</v>
      </c>
      <c r="G36" s="4" t="str">
        <f>IFERROR(__xludf.DUMMYFUNCTION("IFERROR(INDEX(SPLIT(D36, ""_""), 6),"""")"),"Step1")</f>
        <v>Step1</v>
      </c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" t="s">
        <v>8</v>
      </c>
      <c r="B37" s="3" t="str">
        <f>IFERROR(__xludf.DUMMYFUNCTION("IFERROR(INDEX(SPLIT(D37, ""_""), 3),"""")"),"SCIWeap")</f>
        <v>SCIWeap</v>
      </c>
      <c r="C37" s="4" t="str">
        <f>IFERROR(__xludf.DUMMYFUNCTION("IFERROR(REGEXEXTRACT(D37, ""TII.*""), """")"),"TII_SCIWeap_LaserGunShoot_Simple_Step1_DESIGNED_06.wav")</f>
        <v>TII_SCIWeap_LaserGunShoot_Simple_Step1_DESIGNED_06.wav</v>
      </c>
      <c r="D37" s="5" t="s">
        <v>49</v>
      </c>
      <c r="E37" s="5" t="s">
        <v>44</v>
      </c>
      <c r="F37" s="4" t="str">
        <f>IFERROR(__xludf.DUMMYFUNCTION("IFERROR(INDEX(SPLIT(D37, ""_""), 5),"""")"),"Simple")</f>
        <v>Simple</v>
      </c>
      <c r="G37" s="4" t="str">
        <f>IFERROR(__xludf.DUMMYFUNCTION("IFERROR(INDEX(SPLIT(D37, ""_""), 6),"""")"),"Step1")</f>
        <v>Step1</v>
      </c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" t="s">
        <v>8</v>
      </c>
      <c r="B38" s="3" t="str">
        <f>IFERROR(__xludf.DUMMYFUNCTION("IFERROR(INDEX(SPLIT(D38, ""_""), 3),"""")"),"SCIWeap")</f>
        <v>SCIWeap</v>
      </c>
      <c r="C38" s="4" t="str">
        <f>IFERROR(__xludf.DUMMYFUNCTION("IFERROR(REGEXEXTRACT(D38, ""TII.*""), """")"),"TII_SCIWeap_LaserGunShoot_Simple_Step1_DESIGNED_07.wav")</f>
        <v>TII_SCIWeap_LaserGunShoot_Simple_Step1_DESIGNED_07.wav</v>
      </c>
      <c r="D38" s="5" t="s">
        <v>50</v>
      </c>
      <c r="E38" s="5" t="s">
        <v>44</v>
      </c>
      <c r="F38" s="4" t="str">
        <f>IFERROR(__xludf.DUMMYFUNCTION("IFERROR(INDEX(SPLIT(D38, ""_""), 5),"""")"),"Simple")</f>
        <v>Simple</v>
      </c>
      <c r="G38" s="4" t="str">
        <f>IFERROR(__xludf.DUMMYFUNCTION("IFERROR(INDEX(SPLIT(D38, ""_""), 6),"""")"),"Step1")</f>
        <v>Step1</v>
      </c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" t="s">
        <v>8</v>
      </c>
      <c r="B39" s="3" t="str">
        <f>IFERROR(__xludf.DUMMYFUNCTION("IFERROR(INDEX(SPLIT(D39, ""_""), 3),"""")"),"SCIWeap")</f>
        <v>SCIWeap</v>
      </c>
      <c r="C39" s="4" t="str">
        <f>IFERROR(__xludf.DUMMYFUNCTION("IFERROR(REGEXEXTRACT(D39, ""TII.*""), """")"),"TII_SCIWeap_LaserGunShoot_Simple_Step1_DESIGNED_08.wav")</f>
        <v>TII_SCIWeap_LaserGunShoot_Simple_Step1_DESIGNED_08.wav</v>
      </c>
      <c r="D39" s="5" t="s">
        <v>51</v>
      </c>
      <c r="E39" s="5" t="s">
        <v>44</v>
      </c>
      <c r="F39" s="4" t="str">
        <f>IFERROR(__xludf.DUMMYFUNCTION("IFERROR(INDEX(SPLIT(D39, ""_""), 5),"""")"),"Simple")</f>
        <v>Simple</v>
      </c>
      <c r="G39" s="4" t="str">
        <f>IFERROR(__xludf.DUMMYFUNCTION("IFERROR(INDEX(SPLIT(D39, ""_""), 6),"""")"),"Step1")</f>
        <v>Step1</v>
      </c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" t="s">
        <v>8</v>
      </c>
      <c r="B40" s="3" t="str">
        <f>IFERROR(__xludf.DUMMYFUNCTION("IFERROR(INDEX(SPLIT(D40, ""_""), 3),"""")"),"SCIWeap")</f>
        <v>SCIWeap</v>
      </c>
      <c r="C40" s="4" t="str">
        <f>IFERROR(__xludf.DUMMYFUNCTION("IFERROR(REGEXEXTRACT(D40, ""TII.*""), """")"),"TII_SCIWeap_LaserGunShoot_Simple_Step1_DESIGNED_09.wav")</f>
        <v>TII_SCIWeap_LaserGunShoot_Simple_Step1_DESIGNED_09.wav</v>
      </c>
      <c r="D40" s="5" t="s">
        <v>52</v>
      </c>
      <c r="E40" s="5" t="s">
        <v>44</v>
      </c>
      <c r="F40" s="4" t="str">
        <f>IFERROR(__xludf.DUMMYFUNCTION("IFERROR(INDEX(SPLIT(D40, ""_""), 5),"""")"),"Simple")</f>
        <v>Simple</v>
      </c>
      <c r="G40" s="4" t="str">
        <f>IFERROR(__xludf.DUMMYFUNCTION("IFERROR(INDEX(SPLIT(D40, ""_""), 6),"""")"),"Step1")</f>
        <v>Step1</v>
      </c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" t="s">
        <v>8</v>
      </c>
      <c r="B41" s="3" t="str">
        <f>IFERROR(__xludf.DUMMYFUNCTION("IFERROR(INDEX(SPLIT(D41, ""_""), 3),"""")"),"SCIWeap")</f>
        <v>SCIWeap</v>
      </c>
      <c r="C41" s="4" t="str">
        <f>IFERROR(__xludf.DUMMYFUNCTION("IFERROR(REGEXEXTRACT(D41, ""TII.*""), """")"),"TII_SCIWeap_LaserGunShoot_Simple_Step1_DESIGNED_10.wav")</f>
        <v>TII_SCIWeap_LaserGunShoot_Simple_Step1_DESIGNED_10.wav</v>
      </c>
      <c r="D41" s="5" t="s">
        <v>53</v>
      </c>
      <c r="E41" s="5" t="s">
        <v>44</v>
      </c>
      <c r="F41" s="4" t="str">
        <f>IFERROR(__xludf.DUMMYFUNCTION("IFERROR(INDEX(SPLIT(D41, ""_""), 5),"""")"),"Simple")</f>
        <v>Simple</v>
      </c>
      <c r="G41" s="4" t="str">
        <f>IFERROR(__xludf.DUMMYFUNCTION("IFERROR(INDEX(SPLIT(D41, ""_""), 6),"""")"),"Step1")</f>
        <v>Step1</v>
      </c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" t="s">
        <v>8</v>
      </c>
      <c r="B42" s="3" t="str">
        <f>IFERROR(__xludf.DUMMYFUNCTION("IFERROR(INDEX(SPLIT(D42, ""_""), 3),"""")"),"SCIWeap")</f>
        <v>SCIWeap</v>
      </c>
      <c r="C42" s="4" t="str">
        <f>IFERROR(__xludf.DUMMYFUNCTION("IFERROR(REGEXEXTRACT(D42, ""TII.*""), """")"),"TII_SCIWeap_LaserGunShoot_Simple_Step1_DESIGNED_11.wav")</f>
        <v>TII_SCIWeap_LaserGunShoot_Simple_Step1_DESIGNED_11.wav</v>
      </c>
      <c r="D42" s="5" t="s">
        <v>54</v>
      </c>
      <c r="E42" s="5" t="s">
        <v>44</v>
      </c>
      <c r="F42" s="4" t="str">
        <f>IFERROR(__xludf.DUMMYFUNCTION("IFERROR(INDEX(SPLIT(D42, ""_""), 5),"""")"),"Simple")</f>
        <v>Simple</v>
      </c>
      <c r="G42" s="4" t="str">
        <f>IFERROR(__xludf.DUMMYFUNCTION("IFERROR(INDEX(SPLIT(D42, ""_""), 6),"""")"),"Step1")</f>
        <v>Step1</v>
      </c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" t="s">
        <v>8</v>
      </c>
      <c r="B43" s="3" t="str">
        <f>IFERROR(__xludf.DUMMYFUNCTION("IFERROR(INDEX(SPLIT(D43, ""_""), 3),"""")"),"SCIWeap")</f>
        <v>SCIWeap</v>
      </c>
      <c r="C43" s="4" t="str">
        <f>IFERROR(__xludf.DUMMYFUNCTION("IFERROR(REGEXEXTRACT(D43, ""TII.*""), """")"),"TII_SCIWeap_LaserGunShoot_Simple_Step1_DESIGNED_12.wav")</f>
        <v>TII_SCIWeap_LaserGunShoot_Simple_Step1_DESIGNED_12.wav</v>
      </c>
      <c r="D43" s="5" t="s">
        <v>55</v>
      </c>
      <c r="E43" s="5" t="s">
        <v>44</v>
      </c>
      <c r="F43" s="4" t="str">
        <f>IFERROR(__xludf.DUMMYFUNCTION("IFERROR(INDEX(SPLIT(D43, ""_""), 5),"""")"),"Simple")</f>
        <v>Simple</v>
      </c>
      <c r="G43" s="4" t="str">
        <f>IFERROR(__xludf.DUMMYFUNCTION("IFERROR(INDEX(SPLIT(D43, ""_""), 6),"""")"),"Step1")</f>
        <v>Step1</v>
      </c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" t="s">
        <v>8</v>
      </c>
      <c r="B44" s="3" t="str">
        <f>IFERROR(__xludf.DUMMYFUNCTION("IFERROR(INDEX(SPLIT(D44, ""_""), 3),"""")"),"SCIWeap")</f>
        <v>SCIWeap</v>
      </c>
      <c r="C44" s="4" t="str">
        <f>IFERROR(__xludf.DUMMYFUNCTION("IFERROR(REGEXEXTRACT(D44, ""TII.*""), """")"),"TII_SCIWeap_LaserGunShoot_Simple_Step1_DESIGNED_Package.wav")</f>
        <v>TII_SCIWeap_LaserGunShoot_Simple_Step1_DESIGNED_Package.wav</v>
      </c>
      <c r="D44" s="5" t="s">
        <v>56</v>
      </c>
      <c r="E44" s="5" t="s">
        <v>44</v>
      </c>
      <c r="F44" s="4" t="str">
        <f>IFERROR(__xludf.DUMMYFUNCTION("IFERROR(INDEX(SPLIT(D44, ""_""), 5),"""")"),"Simple")</f>
        <v>Simple</v>
      </c>
      <c r="G44" s="4" t="str">
        <f>IFERROR(__xludf.DUMMYFUNCTION("IFERROR(INDEX(SPLIT(D44, ""_""), 6),"""")"),"Step1")</f>
        <v>Step1</v>
      </c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" t="s">
        <v>8</v>
      </c>
      <c r="B45" s="3" t="str">
        <f>IFERROR(__xludf.DUMMYFUNCTION("IFERROR(INDEX(SPLIT(D45, ""_""), 3),"""")"),"SCIWeap")</f>
        <v>SCIWeap</v>
      </c>
      <c r="C45" s="4" t="str">
        <f>IFERROR(__xludf.DUMMYFUNCTION("IFERROR(REGEXEXTRACT(D45, ""TII.*""), """")"),"TII_SCIWeap_SCIFIBeamSwordGeneration_Simple_Step1_DESIGNED_01.wav")</f>
        <v>TII_SCIWeap_SCIFIBeamSwordGeneration_Simple_Step1_DESIGNED_01.wav</v>
      </c>
      <c r="D45" s="5" t="s">
        <v>57</v>
      </c>
      <c r="E45" s="5" t="s">
        <v>58</v>
      </c>
      <c r="F45" s="4" t="str">
        <f>IFERROR(__xludf.DUMMYFUNCTION("IFERROR(INDEX(SPLIT(D45, ""_""), 5),"""")"),"Simple")</f>
        <v>Simple</v>
      </c>
      <c r="G45" s="4" t="str">
        <f>IFERROR(__xludf.DUMMYFUNCTION("IFERROR(INDEX(SPLIT(D45, ""_""), 6),"""")"),"Step1")</f>
        <v>Step1</v>
      </c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" t="s">
        <v>8</v>
      </c>
      <c r="B46" s="3" t="str">
        <f>IFERROR(__xludf.DUMMYFUNCTION("IFERROR(INDEX(SPLIT(D46, ""_""), 3),"""")"),"SCIWeap")</f>
        <v>SCIWeap</v>
      </c>
      <c r="C46" s="4" t="str">
        <f>IFERROR(__xludf.DUMMYFUNCTION("IFERROR(REGEXEXTRACT(D46, ""TII.*""), """")"),"TII_SCIWeap_SCIFIBeamSwordGeneration_Simple_Step1_DESIGNED_02.wav")</f>
        <v>TII_SCIWeap_SCIFIBeamSwordGeneration_Simple_Step1_DESIGNED_02.wav</v>
      </c>
      <c r="D46" s="5" t="s">
        <v>59</v>
      </c>
      <c r="E46" s="5" t="s">
        <v>58</v>
      </c>
      <c r="F46" s="4" t="str">
        <f>IFERROR(__xludf.DUMMYFUNCTION("IFERROR(INDEX(SPLIT(D46, ""_""), 5),"""")"),"Simple")</f>
        <v>Simple</v>
      </c>
      <c r="G46" s="4" t="str">
        <f>IFERROR(__xludf.DUMMYFUNCTION("IFERROR(INDEX(SPLIT(D46, ""_""), 6),"""")"),"Step1")</f>
        <v>Step1</v>
      </c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" t="s">
        <v>8</v>
      </c>
      <c r="B47" s="3" t="str">
        <f>IFERROR(__xludf.DUMMYFUNCTION("IFERROR(INDEX(SPLIT(D47, ""_""), 3),"""")"),"SCIWeap")</f>
        <v>SCIWeap</v>
      </c>
      <c r="C47" s="4" t="str">
        <f>IFERROR(__xludf.DUMMYFUNCTION("IFERROR(REGEXEXTRACT(D47, ""TII.*""), """")"),"TII_SCIWeap_SCIFIBeamSwordGeneration_Simple_Step1_DESIGNED_03.wav")</f>
        <v>TII_SCIWeap_SCIFIBeamSwordGeneration_Simple_Step1_DESIGNED_03.wav</v>
      </c>
      <c r="D47" s="5" t="s">
        <v>60</v>
      </c>
      <c r="E47" s="5" t="s">
        <v>58</v>
      </c>
      <c r="F47" s="4" t="str">
        <f>IFERROR(__xludf.DUMMYFUNCTION("IFERROR(INDEX(SPLIT(D47, ""_""), 5),"""")"),"Simple")</f>
        <v>Simple</v>
      </c>
      <c r="G47" s="4" t="str">
        <f>IFERROR(__xludf.DUMMYFUNCTION("IFERROR(INDEX(SPLIT(D47, ""_""), 6),"""")"),"Step1")</f>
        <v>Step1</v>
      </c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" t="s">
        <v>8</v>
      </c>
      <c r="B48" s="3" t="str">
        <f>IFERROR(__xludf.DUMMYFUNCTION("IFERROR(INDEX(SPLIT(D48, ""_""), 3),"""")"),"SCIWeap")</f>
        <v>SCIWeap</v>
      </c>
      <c r="C48" s="4" t="str">
        <f>IFERROR(__xludf.DUMMYFUNCTION("IFERROR(REGEXEXTRACT(D48, ""TII.*""), """")"),"TII_SCIWeap_SCIFIBeamSwordGeneration_Simple_Step1_DESIGNED_04.wav")</f>
        <v>TII_SCIWeap_SCIFIBeamSwordGeneration_Simple_Step1_DESIGNED_04.wav</v>
      </c>
      <c r="D48" s="5" t="s">
        <v>61</v>
      </c>
      <c r="E48" s="5" t="s">
        <v>58</v>
      </c>
      <c r="F48" s="4" t="str">
        <f>IFERROR(__xludf.DUMMYFUNCTION("IFERROR(INDEX(SPLIT(D48, ""_""), 5),"""")"),"Simple")</f>
        <v>Simple</v>
      </c>
      <c r="G48" s="4" t="str">
        <f>IFERROR(__xludf.DUMMYFUNCTION("IFERROR(INDEX(SPLIT(D48, ""_""), 6),"""")"),"Step1")</f>
        <v>Step1</v>
      </c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" t="s">
        <v>8</v>
      </c>
      <c r="B49" s="3" t="str">
        <f>IFERROR(__xludf.DUMMYFUNCTION("IFERROR(INDEX(SPLIT(D49, ""_""), 3),"""")"),"SCIWeap")</f>
        <v>SCIWeap</v>
      </c>
      <c r="C49" s="4" t="str">
        <f>IFERROR(__xludf.DUMMYFUNCTION("IFERROR(REGEXEXTRACT(D49, ""TII.*""), """")"),"TII_SCIWeap_SCIFIBeamSwordGeneration_Simple_Step1_DESIGNED_05.wav")</f>
        <v>TII_SCIWeap_SCIFIBeamSwordGeneration_Simple_Step1_DESIGNED_05.wav</v>
      </c>
      <c r="D49" s="5" t="s">
        <v>62</v>
      </c>
      <c r="E49" s="5" t="s">
        <v>58</v>
      </c>
      <c r="F49" s="4" t="str">
        <f>IFERROR(__xludf.DUMMYFUNCTION("IFERROR(INDEX(SPLIT(D49, ""_""), 5),"""")"),"Simple")</f>
        <v>Simple</v>
      </c>
      <c r="G49" s="4" t="str">
        <f>IFERROR(__xludf.DUMMYFUNCTION("IFERROR(INDEX(SPLIT(D49, ""_""), 6),"""")"),"Step1")</f>
        <v>Step1</v>
      </c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" t="s">
        <v>8</v>
      </c>
      <c r="B50" s="3" t="str">
        <f>IFERROR(__xludf.DUMMYFUNCTION("IFERROR(INDEX(SPLIT(D50, ""_""), 3),"""")"),"SCIWeap")</f>
        <v>SCIWeap</v>
      </c>
      <c r="C50" s="4" t="str">
        <f>IFERROR(__xludf.DUMMYFUNCTION("IFERROR(REGEXEXTRACT(D50, ""TII.*""), """")"),"TII_SCIWeap_SCIFIBeamSwordGeneration_Simple_Step1_DESIGNED_06.wav")</f>
        <v>TII_SCIWeap_SCIFIBeamSwordGeneration_Simple_Step1_DESIGNED_06.wav</v>
      </c>
      <c r="D50" s="5" t="s">
        <v>63</v>
      </c>
      <c r="E50" s="5" t="s">
        <v>58</v>
      </c>
      <c r="F50" s="4" t="str">
        <f>IFERROR(__xludf.DUMMYFUNCTION("IFERROR(INDEX(SPLIT(D50, ""_""), 5),"""")"),"Simple")</f>
        <v>Simple</v>
      </c>
      <c r="G50" s="4" t="str">
        <f>IFERROR(__xludf.DUMMYFUNCTION("IFERROR(INDEX(SPLIT(D50, ""_""), 6),"""")"),"Step1")</f>
        <v>Step1</v>
      </c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" t="s">
        <v>8</v>
      </c>
      <c r="B51" s="3" t="str">
        <f>IFERROR(__xludf.DUMMYFUNCTION("IFERROR(INDEX(SPLIT(D51, ""_""), 3),"""")"),"SCIWeap")</f>
        <v>SCIWeap</v>
      </c>
      <c r="C51" s="4" t="str">
        <f>IFERROR(__xludf.DUMMYFUNCTION("IFERROR(REGEXEXTRACT(D51, ""TII.*""), """")"),"TII_SCIWeap_SCIFIBeamSwordGeneration_Simple_Step1_DESIGNED_07.wav")</f>
        <v>TII_SCIWeap_SCIFIBeamSwordGeneration_Simple_Step1_DESIGNED_07.wav</v>
      </c>
      <c r="D51" s="5" t="s">
        <v>64</v>
      </c>
      <c r="E51" s="5" t="s">
        <v>58</v>
      </c>
      <c r="F51" s="4" t="str">
        <f>IFERROR(__xludf.DUMMYFUNCTION("IFERROR(INDEX(SPLIT(D51, ""_""), 5),"""")"),"Simple")</f>
        <v>Simple</v>
      </c>
      <c r="G51" s="4" t="str">
        <f>IFERROR(__xludf.DUMMYFUNCTION("IFERROR(INDEX(SPLIT(D51, ""_""), 6),"""")"),"Step1")</f>
        <v>Step1</v>
      </c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 t="s">
        <v>8</v>
      </c>
      <c r="B52" s="3" t="str">
        <f>IFERROR(__xludf.DUMMYFUNCTION("IFERROR(INDEX(SPLIT(D52, ""_""), 3),"""")"),"SCIWeap")</f>
        <v>SCIWeap</v>
      </c>
      <c r="C52" s="4" t="str">
        <f>IFERROR(__xludf.DUMMYFUNCTION("IFERROR(REGEXEXTRACT(D52, ""TII.*""), """")"),"TII_SCIWeap_SCIFIBeamSwordGeneration_Simple_Step1_DESIGNED_08.wav")</f>
        <v>TII_SCIWeap_SCIFIBeamSwordGeneration_Simple_Step1_DESIGNED_08.wav</v>
      </c>
      <c r="D52" s="5" t="s">
        <v>65</v>
      </c>
      <c r="E52" s="5" t="s">
        <v>58</v>
      </c>
      <c r="F52" s="4" t="str">
        <f>IFERROR(__xludf.DUMMYFUNCTION("IFERROR(INDEX(SPLIT(D52, ""_""), 5),"""")"),"Simple")</f>
        <v>Simple</v>
      </c>
      <c r="G52" s="4" t="str">
        <f>IFERROR(__xludf.DUMMYFUNCTION("IFERROR(INDEX(SPLIT(D52, ""_""), 6),"""")"),"Step1")</f>
        <v>Step1</v>
      </c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" t="s">
        <v>8</v>
      </c>
      <c r="B53" s="3" t="str">
        <f>IFERROR(__xludf.DUMMYFUNCTION("IFERROR(INDEX(SPLIT(D53, ""_""), 3),"""")"),"SCIWeap")</f>
        <v>SCIWeap</v>
      </c>
      <c r="C53" s="4" t="str">
        <f>IFERROR(__xludf.DUMMYFUNCTION("IFERROR(REGEXEXTRACT(D53, ""TII.*""), """")"),"TII_SCIWeap_SCIFIBeamSwordGeneration_Simple_Step1_DESIGNED_09.wav")</f>
        <v>TII_SCIWeap_SCIFIBeamSwordGeneration_Simple_Step1_DESIGNED_09.wav</v>
      </c>
      <c r="D53" s="5" t="s">
        <v>66</v>
      </c>
      <c r="E53" s="5" t="s">
        <v>58</v>
      </c>
      <c r="F53" s="4" t="str">
        <f>IFERROR(__xludf.DUMMYFUNCTION("IFERROR(INDEX(SPLIT(D53, ""_""), 5),"""")"),"Simple")</f>
        <v>Simple</v>
      </c>
      <c r="G53" s="4" t="str">
        <f>IFERROR(__xludf.DUMMYFUNCTION("IFERROR(INDEX(SPLIT(D53, ""_""), 6),"""")"),"Step1")</f>
        <v>Step1</v>
      </c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" t="s">
        <v>8</v>
      </c>
      <c r="B54" s="3" t="str">
        <f>IFERROR(__xludf.DUMMYFUNCTION("IFERROR(INDEX(SPLIT(D54, ""_""), 3),"""")"),"SCIWeap")</f>
        <v>SCIWeap</v>
      </c>
      <c r="C54" s="4" t="str">
        <f>IFERROR(__xludf.DUMMYFUNCTION("IFERROR(REGEXEXTRACT(D54, ""TII.*""), """")"),"TII_SCIWeap_SCIFIBeamSwordGeneration_Simple_Step1_DESIGNED_10.wav")</f>
        <v>TII_SCIWeap_SCIFIBeamSwordGeneration_Simple_Step1_DESIGNED_10.wav</v>
      </c>
      <c r="D54" s="5" t="s">
        <v>67</v>
      </c>
      <c r="E54" s="5" t="s">
        <v>58</v>
      </c>
      <c r="F54" s="4" t="str">
        <f>IFERROR(__xludf.DUMMYFUNCTION("IFERROR(INDEX(SPLIT(D54, ""_""), 5),"""")"),"Simple")</f>
        <v>Simple</v>
      </c>
      <c r="G54" s="4" t="str">
        <f>IFERROR(__xludf.DUMMYFUNCTION("IFERROR(INDEX(SPLIT(D54, ""_""), 6),"""")"),"Step1")</f>
        <v>Step1</v>
      </c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" t="s">
        <v>8</v>
      </c>
      <c r="B55" s="3" t="str">
        <f>IFERROR(__xludf.DUMMYFUNCTION("IFERROR(INDEX(SPLIT(D55, ""_""), 3),"""")"),"SCIWeap")</f>
        <v>SCIWeap</v>
      </c>
      <c r="C55" s="4" t="str">
        <f>IFERROR(__xludf.DUMMYFUNCTION("IFERROR(REGEXEXTRACT(D55, ""TII.*""), """")"),"TII_SCIWeap_SCIFIBeamSwordGeneration_Simple_Step1_DESIGNED_Package.wav")</f>
        <v>TII_SCIWeap_SCIFIBeamSwordGeneration_Simple_Step1_DESIGNED_Package.wav</v>
      </c>
      <c r="D55" s="5" t="s">
        <v>68</v>
      </c>
      <c r="E55" s="5" t="s">
        <v>58</v>
      </c>
      <c r="F55" s="4" t="str">
        <f>IFERROR(__xludf.DUMMYFUNCTION("IFERROR(INDEX(SPLIT(D55, ""_""), 5),"""")"),"Simple")</f>
        <v>Simple</v>
      </c>
      <c r="G55" s="4" t="str">
        <f>IFERROR(__xludf.DUMMYFUNCTION("IFERROR(INDEX(SPLIT(D55, ""_""), 6),"""")"),"Step1")</f>
        <v>Step1</v>
      </c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" t="s">
        <v>8</v>
      </c>
      <c r="B56" s="3" t="str">
        <f>IFERROR(__xludf.DUMMYFUNCTION("IFERROR(INDEX(SPLIT(D56, ""_""), 3),"""")"),"SCIWeap")</f>
        <v>SCIWeap</v>
      </c>
      <c r="C56" s="4" t="str">
        <f>IFERROR(__xludf.DUMMYFUNCTION("IFERROR(REGEXEXTRACT(D56, ""TII.*""), """")"),"TII_SCIWeap_SCIFIPistolShoot_Simple_Step1_DESIGNED_01.wav")</f>
        <v>TII_SCIWeap_SCIFIPistolShoot_Simple_Step1_DESIGNED_01.wav</v>
      </c>
      <c r="D56" s="5" t="s">
        <v>69</v>
      </c>
      <c r="E56" s="5" t="s">
        <v>70</v>
      </c>
      <c r="F56" s="4" t="str">
        <f>IFERROR(__xludf.DUMMYFUNCTION("IFERROR(INDEX(SPLIT(D56, ""_""), 5),"""")"),"Simple")</f>
        <v>Simple</v>
      </c>
      <c r="G56" s="4" t="str">
        <f>IFERROR(__xludf.DUMMYFUNCTION("IFERROR(INDEX(SPLIT(D56, ""_""), 6),"""")"),"Step1")</f>
        <v>Step1</v>
      </c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" t="s">
        <v>8</v>
      </c>
      <c r="B57" s="3" t="str">
        <f>IFERROR(__xludf.DUMMYFUNCTION("IFERROR(INDEX(SPLIT(D57, ""_""), 3),"""")"),"SCIWeap")</f>
        <v>SCIWeap</v>
      </c>
      <c r="C57" s="4" t="str">
        <f>IFERROR(__xludf.DUMMYFUNCTION("IFERROR(REGEXEXTRACT(D57, ""TII.*""), """")"),"TII_SCIWeap_SCIFIPistolShoot_Simple_Step1_DESIGNED_02.wav")</f>
        <v>TII_SCIWeap_SCIFIPistolShoot_Simple_Step1_DESIGNED_02.wav</v>
      </c>
      <c r="D57" s="5" t="s">
        <v>71</v>
      </c>
      <c r="E57" s="5" t="s">
        <v>70</v>
      </c>
      <c r="F57" s="4" t="str">
        <f>IFERROR(__xludf.DUMMYFUNCTION("IFERROR(INDEX(SPLIT(D57, ""_""), 5),"""")"),"Simple")</f>
        <v>Simple</v>
      </c>
      <c r="G57" s="4" t="str">
        <f>IFERROR(__xludf.DUMMYFUNCTION("IFERROR(INDEX(SPLIT(D57, ""_""), 6),"""")"),"Step1")</f>
        <v>Step1</v>
      </c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" t="s">
        <v>8</v>
      </c>
      <c r="B58" s="3" t="str">
        <f>IFERROR(__xludf.DUMMYFUNCTION("IFERROR(INDEX(SPLIT(D58, ""_""), 3),"""")"),"SCIWeap")</f>
        <v>SCIWeap</v>
      </c>
      <c r="C58" s="4" t="str">
        <f>IFERROR(__xludf.DUMMYFUNCTION("IFERROR(REGEXEXTRACT(D58, ""TII.*""), """")"),"TII_SCIWeap_SCIFIPistolShoot_Simple_Step1_DESIGNED_03.wav")</f>
        <v>TII_SCIWeap_SCIFIPistolShoot_Simple_Step1_DESIGNED_03.wav</v>
      </c>
      <c r="D58" s="5" t="s">
        <v>72</v>
      </c>
      <c r="E58" s="5" t="s">
        <v>70</v>
      </c>
      <c r="F58" s="4" t="str">
        <f>IFERROR(__xludf.DUMMYFUNCTION("IFERROR(INDEX(SPLIT(D58, ""_""), 5),"""")"),"Simple")</f>
        <v>Simple</v>
      </c>
      <c r="G58" s="4" t="str">
        <f>IFERROR(__xludf.DUMMYFUNCTION("IFERROR(INDEX(SPLIT(D58, ""_""), 6),"""")"),"Step1")</f>
        <v>Step1</v>
      </c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" t="s">
        <v>8</v>
      </c>
      <c r="B59" s="3" t="str">
        <f>IFERROR(__xludf.DUMMYFUNCTION("IFERROR(INDEX(SPLIT(D59, ""_""), 3),"""")"),"SCIWeap")</f>
        <v>SCIWeap</v>
      </c>
      <c r="C59" s="4" t="str">
        <f>IFERROR(__xludf.DUMMYFUNCTION("IFERROR(REGEXEXTRACT(D59, ""TII.*""), """")"),"TII_SCIWeap_SCIFIPistolShoot_Simple_Step1_DESIGNED_04.wav")</f>
        <v>TII_SCIWeap_SCIFIPistolShoot_Simple_Step1_DESIGNED_04.wav</v>
      </c>
      <c r="D59" s="5" t="s">
        <v>73</v>
      </c>
      <c r="E59" s="5" t="s">
        <v>70</v>
      </c>
      <c r="F59" s="4" t="str">
        <f>IFERROR(__xludf.DUMMYFUNCTION("IFERROR(INDEX(SPLIT(D59, ""_""), 5),"""")"),"Simple")</f>
        <v>Simple</v>
      </c>
      <c r="G59" s="4" t="str">
        <f>IFERROR(__xludf.DUMMYFUNCTION("IFERROR(INDEX(SPLIT(D59, ""_""), 6),"""")"),"Step1")</f>
        <v>Step1</v>
      </c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" t="s">
        <v>8</v>
      </c>
      <c r="B60" s="3" t="str">
        <f>IFERROR(__xludf.DUMMYFUNCTION("IFERROR(INDEX(SPLIT(D60, ""_""), 3),"""")"),"SCIWeap")</f>
        <v>SCIWeap</v>
      </c>
      <c r="C60" s="4" t="str">
        <f>IFERROR(__xludf.DUMMYFUNCTION("IFERROR(REGEXEXTRACT(D60, ""TII.*""), """")"),"TII_SCIWeap_SCIFIPistolShoot_Simple_Step1_DESIGNED_05.wav")</f>
        <v>TII_SCIWeap_SCIFIPistolShoot_Simple_Step1_DESIGNED_05.wav</v>
      </c>
      <c r="D60" s="5" t="s">
        <v>74</v>
      </c>
      <c r="E60" s="5" t="s">
        <v>70</v>
      </c>
      <c r="F60" s="4" t="str">
        <f>IFERROR(__xludf.DUMMYFUNCTION("IFERROR(INDEX(SPLIT(D60, ""_""), 5),"""")"),"Simple")</f>
        <v>Simple</v>
      </c>
      <c r="G60" s="4" t="str">
        <f>IFERROR(__xludf.DUMMYFUNCTION("IFERROR(INDEX(SPLIT(D60, ""_""), 6),"""")"),"Step1")</f>
        <v>Step1</v>
      </c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" t="s">
        <v>8</v>
      </c>
      <c r="B61" s="3" t="str">
        <f>IFERROR(__xludf.DUMMYFUNCTION("IFERROR(INDEX(SPLIT(D61, ""_""), 3),"""")"),"SCIWeap")</f>
        <v>SCIWeap</v>
      </c>
      <c r="C61" s="4" t="str">
        <f>IFERROR(__xludf.DUMMYFUNCTION("IFERROR(REGEXEXTRACT(D61, ""TII.*""), """")"),"TII_SCIWeap_SCIFIPistolShoot_Simple_Step1_DESIGNED_06.wav")</f>
        <v>TII_SCIWeap_SCIFIPistolShoot_Simple_Step1_DESIGNED_06.wav</v>
      </c>
      <c r="D61" s="5" t="s">
        <v>75</v>
      </c>
      <c r="E61" s="5" t="s">
        <v>70</v>
      </c>
      <c r="F61" s="4" t="str">
        <f>IFERROR(__xludf.DUMMYFUNCTION("IFERROR(INDEX(SPLIT(D61, ""_""), 5),"""")"),"Simple")</f>
        <v>Simple</v>
      </c>
      <c r="G61" s="4" t="str">
        <f>IFERROR(__xludf.DUMMYFUNCTION("IFERROR(INDEX(SPLIT(D61, ""_""), 6),"""")"),"Step1")</f>
        <v>Step1</v>
      </c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" t="s">
        <v>8</v>
      </c>
      <c r="B62" s="3" t="str">
        <f>IFERROR(__xludf.DUMMYFUNCTION("IFERROR(INDEX(SPLIT(D62, ""_""), 3),"""")"),"SCIWeap")</f>
        <v>SCIWeap</v>
      </c>
      <c r="C62" s="4" t="str">
        <f>IFERROR(__xludf.DUMMYFUNCTION("IFERROR(REGEXEXTRACT(D62, ""TII.*""), """")"),"TII_SCIWeap_SCIFIPistolShoot_Simple_Step1_DESIGNED_07.wav")</f>
        <v>TII_SCIWeap_SCIFIPistolShoot_Simple_Step1_DESIGNED_07.wav</v>
      </c>
      <c r="D62" s="5" t="s">
        <v>76</v>
      </c>
      <c r="E62" s="5" t="s">
        <v>70</v>
      </c>
      <c r="F62" s="4" t="str">
        <f>IFERROR(__xludf.DUMMYFUNCTION("IFERROR(INDEX(SPLIT(D62, ""_""), 5),"""")"),"Simple")</f>
        <v>Simple</v>
      </c>
      <c r="G62" s="4" t="str">
        <f>IFERROR(__xludf.DUMMYFUNCTION("IFERROR(INDEX(SPLIT(D62, ""_""), 6),"""")"),"Step1")</f>
        <v>Step1</v>
      </c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" t="s">
        <v>8</v>
      </c>
      <c r="B63" s="3" t="str">
        <f>IFERROR(__xludf.DUMMYFUNCTION("IFERROR(INDEX(SPLIT(D63, ""_""), 3),"""")"),"SCIWeap")</f>
        <v>SCIWeap</v>
      </c>
      <c r="C63" s="4" t="str">
        <f>IFERROR(__xludf.DUMMYFUNCTION("IFERROR(REGEXEXTRACT(D63, ""TII.*""), """")"),"TII_SCIWeap_SCIFIPistolShoot_Simple_Step1_DESIGNED_Package.wav")</f>
        <v>TII_SCIWeap_SCIFIPistolShoot_Simple_Step1_DESIGNED_Package.wav</v>
      </c>
      <c r="D63" s="5" t="s">
        <v>77</v>
      </c>
      <c r="E63" s="5" t="s">
        <v>70</v>
      </c>
      <c r="F63" s="4" t="str">
        <f>IFERROR(__xludf.DUMMYFUNCTION("IFERROR(INDEX(SPLIT(D63, ""_""), 5),"""")"),"Simple")</f>
        <v>Simple</v>
      </c>
      <c r="G63" s="4" t="str">
        <f>IFERROR(__xludf.DUMMYFUNCTION("IFERROR(INDEX(SPLIT(D63, ""_""), 6),"""")"),"Step1")</f>
        <v>Step1</v>
      </c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" t="s">
        <v>8</v>
      </c>
      <c r="B64" s="3" t="str">
        <f>IFERROR(__xludf.DUMMYFUNCTION("IFERROR(INDEX(SPLIT(D64, ""_""), 3),"""")"),"SCIWeap")</f>
        <v>SCIWeap</v>
      </c>
      <c r="C64" s="4" t="str">
        <f>IFERROR(__xludf.DUMMYFUNCTION("IFERROR(REGEXEXTRACT(D64, ""TII.*""), """")"),"TII_SCIWeap_BlackHoleVoid_Complex_Step2_Loop_Dynamic_DESIGNED_01.wav")</f>
        <v>TII_SCIWeap_BlackHoleVoid_Complex_Step2_Loop_Dynamic_DESIGNED_01.wav</v>
      </c>
      <c r="D64" s="5" t="s">
        <v>78</v>
      </c>
      <c r="E64" s="5" t="s">
        <v>79</v>
      </c>
      <c r="F64" s="4" t="str">
        <f>IFERROR(__xludf.DUMMYFUNCTION("IFERROR(INDEX(SPLIT(D64, ""_""), 5),"""")"),"Complex")</f>
        <v>Complex</v>
      </c>
      <c r="G64" s="4" t="str">
        <f>IFERROR(__xludf.DUMMYFUNCTION("IFERROR(INDEX(SPLIT(D64, ""_""), 6),"""")"),"Step2")</f>
        <v>Step2</v>
      </c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" t="s">
        <v>8</v>
      </c>
      <c r="B65" s="3" t="str">
        <f>IFERROR(__xludf.DUMMYFUNCTION("IFERROR(INDEX(SPLIT(D65, ""_""), 3),"""")"),"SCIWeap")</f>
        <v>SCIWeap</v>
      </c>
      <c r="C65" s="4" t="str">
        <f>IFERROR(__xludf.DUMMYFUNCTION("IFERROR(REGEXEXTRACT(D65, ""TII.*""), """")"),"TII_SCIWeap_BlackHoleVoid_Complex_Step2_Loop_Infinity_DESIGNED_01.wav")</f>
        <v>TII_SCIWeap_BlackHoleVoid_Complex_Step2_Loop_Infinity_DESIGNED_01.wav</v>
      </c>
      <c r="D65" s="5" t="s">
        <v>80</v>
      </c>
      <c r="E65" s="5" t="s">
        <v>79</v>
      </c>
      <c r="F65" s="4" t="str">
        <f>IFERROR(__xludf.DUMMYFUNCTION("IFERROR(INDEX(SPLIT(D65, ""_""), 5),"""")"),"Complex")</f>
        <v>Complex</v>
      </c>
      <c r="G65" s="4" t="str">
        <f>IFERROR(__xludf.DUMMYFUNCTION("IFERROR(INDEX(SPLIT(D65, ""_""), 6),"""")"),"Step2")</f>
        <v>Step2</v>
      </c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8</v>
      </c>
      <c r="B66" s="3" t="str">
        <f>IFERROR(__xludf.DUMMYFUNCTION("IFERROR(INDEX(SPLIT(D66, ""_""), 3),"""")"),"SCIWeap")</f>
        <v>SCIWeap</v>
      </c>
      <c r="C66" s="4" t="str">
        <f>IFERROR(__xludf.DUMMYFUNCTION("IFERROR(REGEXEXTRACT(D66, ""TII.*""), """")"),"TII_SCIWeap_SatelliteBeamCharging_Complex_Step2_Loop_Dynamic_DESIGNED_01.wav")</f>
        <v>TII_SCIWeap_SatelliteBeamCharging_Complex_Step2_Loop_Dynamic_DESIGNED_01.wav</v>
      </c>
      <c r="D66" s="5" t="s">
        <v>81</v>
      </c>
      <c r="E66" s="5" t="s">
        <v>82</v>
      </c>
      <c r="F66" s="4" t="str">
        <f>IFERROR(__xludf.DUMMYFUNCTION("IFERROR(INDEX(SPLIT(D66, ""_""), 5),"""")"),"Complex")</f>
        <v>Complex</v>
      </c>
      <c r="G66" s="4" t="str">
        <f>IFERROR(__xludf.DUMMYFUNCTION("IFERROR(INDEX(SPLIT(D66, ""_""), 6),"""")"),"Step2")</f>
        <v>Step2</v>
      </c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" t="s">
        <v>8</v>
      </c>
      <c r="B67" s="3" t="str">
        <f>IFERROR(__xludf.DUMMYFUNCTION("IFERROR(INDEX(SPLIT(D67, ""_""), 3),"""")"),"SCIWeap")</f>
        <v>SCIWeap</v>
      </c>
      <c r="C67" s="4" t="str">
        <f>IFERROR(__xludf.DUMMYFUNCTION("IFERROR(REGEXEXTRACT(D67, ""TII.*""), """")"),"TII_SCIWeap_SatelliteBeamCharging_Complex_Step2_Loop_Dynamic_DESIGNED_02.wav")</f>
        <v>TII_SCIWeap_SatelliteBeamCharging_Complex_Step2_Loop_Dynamic_DESIGNED_02.wav</v>
      </c>
      <c r="D67" s="5" t="s">
        <v>83</v>
      </c>
      <c r="E67" s="5" t="s">
        <v>82</v>
      </c>
      <c r="F67" s="4" t="str">
        <f>IFERROR(__xludf.DUMMYFUNCTION("IFERROR(INDEX(SPLIT(D67, ""_""), 5),"""")"),"Complex")</f>
        <v>Complex</v>
      </c>
      <c r="G67" s="4" t="str">
        <f>IFERROR(__xludf.DUMMYFUNCTION("IFERROR(INDEX(SPLIT(D67, ""_""), 6),"""")"),"Step2")</f>
        <v>Step2</v>
      </c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" t="s">
        <v>8</v>
      </c>
      <c r="B68" s="3" t="str">
        <f>IFERROR(__xludf.DUMMYFUNCTION("IFERROR(INDEX(SPLIT(D68, ""_""), 3),"""")"),"SCIWea")</f>
        <v>SCIWea</v>
      </c>
      <c r="C68" s="4" t="str">
        <f>IFERROR(__xludf.DUMMYFUNCTION("IFERROR(REGEXEXTRACT(D68, ""TII.*""), """")"),"TII_SCIWea_SatelliteBeamChargingp_Complex_Step2_Loop_Dynamic_DESIGNED_03.wav")</f>
        <v>TII_SCIWea_SatelliteBeamChargingp_Complex_Step2_Loop_Dynamic_DESIGNED_03.wav</v>
      </c>
      <c r="D68" s="5" t="s">
        <v>84</v>
      </c>
      <c r="E68" s="5" t="s">
        <v>82</v>
      </c>
      <c r="F68" s="4" t="str">
        <f>IFERROR(__xludf.DUMMYFUNCTION("IFERROR(INDEX(SPLIT(D68, ""_""), 5),"""")"),"Complex")</f>
        <v>Complex</v>
      </c>
      <c r="G68" s="4" t="str">
        <f>IFERROR(__xludf.DUMMYFUNCTION("IFERROR(INDEX(SPLIT(D68, ""_""), 6),"""")"),"Step2")</f>
        <v>Step2</v>
      </c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" t="s">
        <v>8</v>
      </c>
      <c r="B69" s="3" t="str">
        <f>IFERROR(__xludf.DUMMYFUNCTION("IFERROR(INDEX(SPLIT(D69, ""_""), 3),"""")"),"SCIWeap")</f>
        <v>SCIWeap</v>
      </c>
      <c r="C69" s="4" t="str">
        <f>IFERROR(__xludf.DUMMYFUNCTION("IFERROR(REGEXEXTRACT(D69, ""TII.*""), """")"),"TII_SCIWeap_SatelliteBeamCharging_Complex_Step2_Loop_Infinity_DESIGNED_01.wav")</f>
        <v>TII_SCIWeap_SatelliteBeamCharging_Complex_Step2_Loop_Infinity_DESIGNED_01.wav</v>
      </c>
      <c r="D69" s="5" t="s">
        <v>85</v>
      </c>
      <c r="E69" s="5" t="s">
        <v>82</v>
      </c>
      <c r="F69" s="4" t="str">
        <f>IFERROR(__xludf.DUMMYFUNCTION("IFERROR(INDEX(SPLIT(D69, ""_""), 5),"""")"),"Complex")</f>
        <v>Complex</v>
      </c>
      <c r="G69" s="4" t="str">
        <f>IFERROR(__xludf.DUMMYFUNCTION("IFERROR(INDEX(SPLIT(D69, ""_""), 6),"""")"),"Step2")</f>
        <v>Step2</v>
      </c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" t="s">
        <v>8</v>
      </c>
      <c r="B70" s="3" t="str">
        <f>IFERROR(__xludf.DUMMYFUNCTION("IFERROR(INDEX(SPLIT(D70, ""_""), 3),"""")"),"SCIWeap")</f>
        <v>SCIWeap</v>
      </c>
      <c r="C70" s="4" t="str">
        <f>IFERROR(__xludf.DUMMYFUNCTION("IFERROR(REGEXEXTRACT(D70, ""TII.*""), """")"),"TII_SCIWeap_SatelliteBeamCharging_Complex_Step2_Loop_Infinity_DESIGNED_02.wav")</f>
        <v>TII_SCIWeap_SatelliteBeamCharging_Complex_Step2_Loop_Infinity_DESIGNED_02.wav</v>
      </c>
      <c r="D70" s="5" t="s">
        <v>86</v>
      </c>
      <c r="E70" s="5" t="s">
        <v>82</v>
      </c>
      <c r="F70" s="4" t="str">
        <f>IFERROR(__xludf.DUMMYFUNCTION("IFERROR(INDEX(SPLIT(D70, ""_""), 5),"""")"),"Complex")</f>
        <v>Complex</v>
      </c>
      <c r="G70" s="4" t="str">
        <f>IFERROR(__xludf.DUMMYFUNCTION("IFERROR(INDEX(SPLIT(D70, ""_""), 6),"""")"),"Step2")</f>
        <v>Step2</v>
      </c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" t="s">
        <v>8</v>
      </c>
      <c r="B71" s="3" t="str">
        <f>IFERROR(__xludf.DUMMYFUNCTION("IFERROR(INDEX(SPLIT(D71, ""_""), 3),"""")"),"SCIWeap")</f>
        <v>SCIWeap</v>
      </c>
      <c r="C71" s="4" t="str">
        <f>IFERROR(__xludf.DUMMYFUNCTION("IFERROR(REGEXEXTRACT(D71, ""TII.*""), """")"),"TII_SCIWeap_SatelliteBeamCharging_Complex_Step2_Loop_Infinity_DESIGNED_03.wav")</f>
        <v>TII_SCIWeap_SatelliteBeamCharging_Complex_Step2_Loop_Infinity_DESIGNED_03.wav</v>
      </c>
      <c r="D71" s="5" t="s">
        <v>87</v>
      </c>
      <c r="E71" s="5" t="s">
        <v>82</v>
      </c>
      <c r="F71" s="4" t="str">
        <f>IFERROR(__xludf.DUMMYFUNCTION("IFERROR(INDEX(SPLIT(D71, ""_""), 5),"""")"),"Complex")</f>
        <v>Complex</v>
      </c>
      <c r="G71" s="4" t="str">
        <f>IFERROR(__xludf.DUMMYFUNCTION("IFERROR(INDEX(SPLIT(D71, ""_""), 6),"""")"),"Step2")</f>
        <v>Step2</v>
      </c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" t="s">
        <v>8</v>
      </c>
      <c r="B72" s="3" t="str">
        <f>IFERROR(__xludf.DUMMYFUNCTION("IFERROR(INDEX(SPLIT(D72, ""_""), 3),"""")"),"SCIWeap")</f>
        <v>SCIWeap</v>
      </c>
      <c r="C72" s="4" t="str">
        <f>IFERROR(__xludf.DUMMYFUNCTION("IFERROR(REGEXEXTRACT(D72, ""TII.*""), """")"),"TII_SCIWeap_ChargeCannonEnergyGain_Normal_Step2_Loop_Dynamic_DESIGNED_01.wav")</f>
        <v>TII_SCIWeap_ChargeCannonEnergyGain_Normal_Step2_Loop_Dynamic_DESIGNED_01.wav</v>
      </c>
      <c r="D72" s="5" t="s">
        <v>88</v>
      </c>
      <c r="E72" s="5" t="s">
        <v>89</v>
      </c>
      <c r="F72" s="4" t="str">
        <f>IFERROR(__xludf.DUMMYFUNCTION("IFERROR(INDEX(SPLIT(D72, ""_""), 5),"""")"),"Normal")</f>
        <v>Normal</v>
      </c>
      <c r="G72" s="4" t="str">
        <f>IFERROR(__xludf.DUMMYFUNCTION("IFERROR(INDEX(SPLIT(D72, ""_""), 6),"""")"),"Step2")</f>
        <v>Step2</v>
      </c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" t="s">
        <v>8</v>
      </c>
      <c r="B73" s="3" t="str">
        <f>IFERROR(__xludf.DUMMYFUNCTION("IFERROR(INDEX(SPLIT(D73, ""_""), 3),"""")"),"SCIWeap")</f>
        <v>SCIWeap</v>
      </c>
      <c r="C73" s="4" t="str">
        <f>IFERROR(__xludf.DUMMYFUNCTION("IFERROR(REGEXEXTRACT(D73, ""TII.*""), """")"),"TII_SCIWeap_ChargeCannonEnergyGain_Normal_Step2_Loop_Dynamic_DESIGNED_02.wav")</f>
        <v>TII_SCIWeap_ChargeCannonEnergyGain_Normal_Step2_Loop_Dynamic_DESIGNED_02.wav</v>
      </c>
      <c r="D73" s="5" t="s">
        <v>90</v>
      </c>
      <c r="E73" s="5" t="s">
        <v>89</v>
      </c>
      <c r="F73" s="4" t="str">
        <f>IFERROR(__xludf.DUMMYFUNCTION("IFERROR(INDEX(SPLIT(D73, ""_""), 5),"""")"),"Normal")</f>
        <v>Normal</v>
      </c>
      <c r="G73" s="4" t="str">
        <f>IFERROR(__xludf.DUMMYFUNCTION("IFERROR(INDEX(SPLIT(D73, ""_""), 6),"""")"),"Step2")</f>
        <v>Step2</v>
      </c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" t="s">
        <v>8</v>
      </c>
      <c r="B74" s="3" t="str">
        <f>IFERROR(__xludf.DUMMYFUNCTION("IFERROR(INDEX(SPLIT(D74, ""_""), 3),"""")"),"SCIWeap")</f>
        <v>SCIWeap</v>
      </c>
      <c r="C74" s="4" t="str">
        <f>IFERROR(__xludf.DUMMYFUNCTION("IFERROR(REGEXEXTRACT(D74, ""TII.*""), """")"),"TII_SCIWeap_ChargeCannonEnergyGain_Normal_Step2_Loop_Infinity_DESIGNED_01.wav")</f>
        <v>TII_SCIWeap_ChargeCannonEnergyGain_Normal_Step2_Loop_Infinity_DESIGNED_01.wav</v>
      </c>
      <c r="D74" s="5" t="s">
        <v>91</v>
      </c>
      <c r="E74" s="5" t="s">
        <v>89</v>
      </c>
      <c r="F74" s="4" t="str">
        <f>IFERROR(__xludf.DUMMYFUNCTION("IFERROR(INDEX(SPLIT(D74, ""_""), 5),"""")"),"Normal")</f>
        <v>Normal</v>
      </c>
      <c r="G74" s="4" t="str">
        <f>IFERROR(__xludf.DUMMYFUNCTION("IFERROR(INDEX(SPLIT(D74, ""_""), 6),"""")"),"Step2")</f>
        <v>Step2</v>
      </c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" t="s">
        <v>8</v>
      </c>
      <c r="B75" s="3" t="str">
        <f>IFERROR(__xludf.DUMMYFUNCTION("IFERROR(INDEX(SPLIT(D75, ""_""), 3),"""")"),"SCIWeap")</f>
        <v>SCIWeap</v>
      </c>
      <c r="C75" s="4" t="str">
        <f>IFERROR(__xludf.DUMMYFUNCTION("IFERROR(REGEXEXTRACT(D75, ""TII.*""), """")"),"TII_SCIWeap_ChargeCannonEnergyGain_Normal_Step2_Loop_Infinity_DESIGNED_02.wav")</f>
        <v>TII_SCIWeap_ChargeCannonEnergyGain_Normal_Step2_Loop_Infinity_DESIGNED_02.wav</v>
      </c>
      <c r="D75" s="5" t="s">
        <v>92</v>
      </c>
      <c r="E75" s="5" t="s">
        <v>89</v>
      </c>
      <c r="F75" s="4" t="str">
        <f>IFERROR(__xludf.DUMMYFUNCTION("IFERROR(INDEX(SPLIT(D75, ""_""), 5),"""")"),"Normal")</f>
        <v>Normal</v>
      </c>
      <c r="G75" s="4" t="str">
        <f>IFERROR(__xludf.DUMMYFUNCTION("IFERROR(INDEX(SPLIT(D75, ""_""), 6),"""")"),"Step2")</f>
        <v>Step2</v>
      </c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" t="s">
        <v>8</v>
      </c>
      <c r="B76" s="3" t="str">
        <f>IFERROR(__xludf.DUMMYFUNCTION("IFERROR(INDEX(SPLIT(D76, ""_""), 3),"""")"),"SCIWeap")</f>
        <v>SCIWeap</v>
      </c>
      <c r="C76" s="4" t="str">
        <f>IFERROR(__xludf.DUMMYFUNCTION("IFERROR(REGEXEXTRACT(D76, ""TII.*""), """")"),"TII_SCIWeap_DrawSCIFIBow_Normal_Step2_DESIGNED_01.wav")</f>
        <v>TII_SCIWeap_DrawSCIFIBow_Normal_Step2_DESIGNED_01.wav</v>
      </c>
      <c r="D76" s="5" t="s">
        <v>93</v>
      </c>
      <c r="E76" s="5" t="s">
        <v>94</v>
      </c>
      <c r="F76" s="4" t="str">
        <f>IFERROR(__xludf.DUMMYFUNCTION("IFERROR(INDEX(SPLIT(D76, ""_""), 5),"""")"),"Normal")</f>
        <v>Normal</v>
      </c>
      <c r="G76" s="4" t="str">
        <f>IFERROR(__xludf.DUMMYFUNCTION("IFERROR(INDEX(SPLIT(D76, ""_""), 6),"""")"),"Step2")</f>
        <v>Step2</v>
      </c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" t="s">
        <v>8</v>
      </c>
      <c r="B77" s="3" t="str">
        <f>IFERROR(__xludf.DUMMYFUNCTION("IFERROR(INDEX(SPLIT(D77, ""_""), 3),"""")"),"SCIWeap")</f>
        <v>SCIWeap</v>
      </c>
      <c r="C77" s="4" t="str">
        <f>IFERROR(__xludf.DUMMYFUNCTION("IFERROR(REGEXEXTRACT(D77, ""TII.*""), """")"),"TII_SCIWeap_DrawSCIFIBow_Normal_Step2_DESIGNED_02.wav")</f>
        <v>TII_SCIWeap_DrawSCIFIBow_Normal_Step2_DESIGNED_02.wav</v>
      </c>
      <c r="D77" s="5" t="s">
        <v>95</v>
      </c>
      <c r="E77" s="5" t="s">
        <v>94</v>
      </c>
      <c r="F77" s="4" t="str">
        <f>IFERROR(__xludf.DUMMYFUNCTION("IFERROR(INDEX(SPLIT(D77, ""_""), 5),"""")"),"Normal")</f>
        <v>Normal</v>
      </c>
      <c r="G77" s="4" t="str">
        <f>IFERROR(__xludf.DUMMYFUNCTION("IFERROR(INDEX(SPLIT(D77, ""_""), 6),"""")"),"Step2")</f>
        <v>Step2</v>
      </c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" t="s">
        <v>8</v>
      </c>
      <c r="B78" s="3" t="str">
        <f>IFERROR(__xludf.DUMMYFUNCTION("IFERROR(INDEX(SPLIT(D78, ""_""), 3),"""")"),"SCIWeap")</f>
        <v>SCIWeap</v>
      </c>
      <c r="C78" s="4" t="str">
        <f>IFERROR(__xludf.DUMMYFUNCTION("IFERROR(REGEXEXTRACT(D78, ""TII.*""), """")"),"TII_SCIWeap_DrawSCIFIBow_Normal_Step2_DESIGNED_03.wav")</f>
        <v>TII_SCIWeap_DrawSCIFIBow_Normal_Step2_DESIGNED_03.wav</v>
      </c>
      <c r="D78" s="5" t="s">
        <v>96</v>
      </c>
      <c r="E78" s="5" t="s">
        <v>94</v>
      </c>
      <c r="F78" s="4" t="str">
        <f>IFERROR(__xludf.DUMMYFUNCTION("IFERROR(INDEX(SPLIT(D78, ""_""), 5),"""")"),"Normal")</f>
        <v>Normal</v>
      </c>
      <c r="G78" s="4" t="str">
        <f>IFERROR(__xludf.DUMMYFUNCTION("IFERROR(INDEX(SPLIT(D78, ""_""), 6),"""")"),"Step2")</f>
        <v>Step2</v>
      </c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" t="s">
        <v>8</v>
      </c>
      <c r="B79" s="3" t="str">
        <f>IFERROR(__xludf.DUMMYFUNCTION("IFERROR(INDEX(SPLIT(D79, ""_""), 3),"""")"),"SCIWeap")</f>
        <v>SCIWeap</v>
      </c>
      <c r="C79" s="4" t="str">
        <f>IFERROR(__xludf.DUMMYFUNCTION("IFERROR(REGEXEXTRACT(D79, ""TII.*""), """")"),"TII_SCIWeap_DrawSCIFIBow_Normal_Step2_DESIGNED_04.wav")</f>
        <v>TII_SCIWeap_DrawSCIFIBow_Normal_Step2_DESIGNED_04.wav</v>
      </c>
      <c r="D79" s="5" t="s">
        <v>97</v>
      </c>
      <c r="E79" s="5" t="s">
        <v>94</v>
      </c>
      <c r="F79" s="4" t="str">
        <f>IFERROR(__xludf.DUMMYFUNCTION("IFERROR(INDEX(SPLIT(D79, ""_""), 5),"""")"),"Normal")</f>
        <v>Normal</v>
      </c>
      <c r="G79" s="4" t="str">
        <f>IFERROR(__xludf.DUMMYFUNCTION("IFERROR(INDEX(SPLIT(D79, ""_""), 6),"""")"),"Step2")</f>
        <v>Step2</v>
      </c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" t="s">
        <v>8</v>
      </c>
      <c r="B80" s="3" t="str">
        <f>IFERROR(__xludf.DUMMYFUNCTION("IFERROR(INDEX(SPLIT(D80, ""_""), 3),"""")"),"SCIWeap")</f>
        <v>SCIWeap</v>
      </c>
      <c r="C80" s="4" t="str">
        <f>IFERROR(__xludf.DUMMYFUNCTION("IFERROR(REGEXEXTRACT(D80, ""TII.*""), """")"),"TII_SCIWeap_DrawSCIFIBow_Normal_Step2_DESIGNED_05.wav")</f>
        <v>TII_SCIWeap_DrawSCIFIBow_Normal_Step2_DESIGNED_05.wav</v>
      </c>
      <c r="D80" s="5" t="s">
        <v>98</v>
      </c>
      <c r="E80" s="5" t="s">
        <v>94</v>
      </c>
      <c r="F80" s="4" t="str">
        <f>IFERROR(__xludf.DUMMYFUNCTION("IFERROR(INDEX(SPLIT(D80, ""_""), 5),"""")"),"Normal")</f>
        <v>Normal</v>
      </c>
      <c r="G80" s="4" t="str">
        <f>IFERROR(__xludf.DUMMYFUNCTION("IFERROR(INDEX(SPLIT(D80, ""_""), 6),"""")"),"Step2")</f>
        <v>Step2</v>
      </c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" t="s">
        <v>8</v>
      </c>
      <c r="B81" s="3" t="str">
        <f>IFERROR(__xludf.DUMMYFUNCTION("IFERROR(INDEX(SPLIT(D81, ""_""), 3),"""")"),"SCIWeap")</f>
        <v>SCIWeap</v>
      </c>
      <c r="C81" s="4" t="str">
        <f>IFERROR(__xludf.DUMMYFUNCTION("IFERROR(REGEXEXTRACT(D81, ""TII.*""), """")"),"TII_SCIWeap_DrawSCIFIBow_Normal_Step2_DESIGNED_Package.wav")</f>
        <v>TII_SCIWeap_DrawSCIFIBow_Normal_Step2_DESIGNED_Package.wav</v>
      </c>
      <c r="D81" s="5" t="s">
        <v>99</v>
      </c>
      <c r="E81" s="5" t="s">
        <v>94</v>
      </c>
      <c r="F81" s="4" t="str">
        <f>IFERROR(__xludf.DUMMYFUNCTION("IFERROR(INDEX(SPLIT(D81, ""_""), 5),"""")"),"Normal")</f>
        <v>Normal</v>
      </c>
      <c r="G81" s="4" t="str">
        <f>IFERROR(__xludf.DUMMYFUNCTION("IFERROR(INDEX(SPLIT(D81, ""_""), 6),"""")"),"Step2")</f>
        <v>Step2</v>
      </c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" t="s">
        <v>8</v>
      </c>
      <c r="B82" s="3" t="str">
        <f>IFERROR(__xludf.DUMMYFUNCTION("IFERROR(INDEX(SPLIT(D82, ""_""), 3),"""")"),"SCIWeap")</f>
        <v>SCIWeap</v>
      </c>
      <c r="C82" s="4" t="str">
        <f>IFERROR(__xludf.DUMMYFUNCTION("IFERROR(REGEXEXTRACT(D82, ""TII.*""), """")"),"TII_SCIWeap_Simple_SCIFIPistolBulletFly_Step2_Loop_Dynamic_DESIGNED_01.wav")</f>
        <v>TII_SCIWeap_Simple_SCIFIPistolBulletFly_Step2_Loop_Dynamic_DESIGNED_01.wav</v>
      </c>
      <c r="D82" s="5" t="s">
        <v>100</v>
      </c>
      <c r="E82" s="5" t="s">
        <v>101</v>
      </c>
      <c r="F82" s="4" t="str">
        <f>IFERROR(__xludf.DUMMYFUNCTION("IFERROR(INDEX(SPLIT(D82, ""_""), 5),"""")"),"SCIFIPistolBulletFly")</f>
        <v>SCIFIPistolBulletFly</v>
      </c>
      <c r="G82" s="4" t="str">
        <f>IFERROR(__xludf.DUMMYFUNCTION("IFERROR(INDEX(SPLIT(D82, ""_""), 6),"""")"),"Step2")</f>
        <v>Step2</v>
      </c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" t="s">
        <v>8</v>
      </c>
      <c r="B83" s="3" t="str">
        <f>IFERROR(__xludf.DUMMYFUNCTION("IFERROR(INDEX(SPLIT(D83, ""_""), 3),"""")"),"SCIWeap")</f>
        <v>SCIWeap</v>
      </c>
      <c r="C83" s="4" t="str">
        <f>IFERROR(__xludf.DUMMYFUNCTION("IFERROR(REGEXEXTRACT(D83, ""TII.*""), """")"),"TII_SCIWeap_SCIFIPistolBulletFly_Simple_Step2_Loop_Dynamic_DESIGNED_02.wav")</f>
        <v>TII_SCIWeap_SCIFIPistolBulletFly_Simple_Step2_Loop_Dynamic_DESIGNED_02.wav</v>
      </c>
      <c r="D83" s="5" t="s">
        <v>102</v>
      </c>
      <c r="E83" s="5" t="s">
        <v>101</v>
      </c>
      <c r="F83" s="4" t="str">
        <f>IFERROR(__xludf.DUMMYFUNCTION("IFERROR(INDEX(SPLIT(D83, ""_""), 5),"""")"),"Simple")</f>
        <v>Simple</v>
      </c>
      <c r="G83" s="4" t="str">
        <f>IFERROR(__xludf.DUMMYFUNCTION("IFERROR(INDEX(SPLIT(D83, ""_""), 6),"""")"),"Step2")</f>
        <v>Step2</v>
      </c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" t="s">
        <v>8</v>
      </c>
      <c r="B84" s="3" t="str">
        <f>IFERROR(__xludf.DUMMYFUNCTION("IFERROR(INDEX(SPLIT(D84, ""_""), 3),"""")"),"SCIWeap")</f>
        <v>SCIWeap</v>
      </c>
      <c r="C84" s="4" t="str">
        <f>IFERROR(__xludf.DUMMYFUNCTION("IFERROR(REGEXEXTRACT(D84, ""TII.*""), """")"),"TII_SCIWeap_SCIFIPistolBulletFly_Simple_Step2_Loop_Dynamic_DESIGNED_03.wav")</f>
        <v>TII_SCIWeap_SCIFIPistolBulletFly_Simple_Step2_Loop_Dynamic_DESIGNED_03.wav</v>
      </c>
      <c r="D84" s="5" t="s">
        <v>103</v>
      </c>
      <c r="E84" s="5" t="s">
        <v>101</v>
      </c>
      <c r="F84" s="4" t="str">
        <f>IFERROR(__xludf.DUMMYFUNCTION("IFERROR(INDEX(SPLIT(D84, ""_""), 5),"""")"),"Simple")</f>
        <v>Simple</v>
      </c>
      <c r="G84" s="4" t="str">
        <f>IFERROR(__xludf.DUMMYFUNCTION("IFERROR(INDEX(SPLIT(D84, ""_""), 6),"""")"),"Step2")</f>
        <v>Step2</v>
      </c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" t="s">
        <v>8</v>
      </c>
      <c r="B85" s="3" t="str">
        <f>IFERROR(__xludf.DUMMYFUNCTION("IFERROR(INDEX(SPLIT(D85, ""_""), 3),"""")"),"SCIWeap")</f>
        <v>SCIWeap</v>
      </c>
      <c r="C85" s="4" t="str">
        <f>IFERROR(__xludf.DUMMYFUNCTION("IFERROR(REGEXEXTRACT(D85, ""TII.*""), """")"),"TII_SCIWeap_Simple_SCIFIPistolBulletFly_Step2_Loop_Infinity_DESIGNED_01.wav")</f>
        <v>TII_SCIWeap_Simple_SCIFIPistolBulletFly_Step2_Loop_Infinity_DESIGNED_01.wav</v>
      </c>
      <c r="D85" s="5" t="s">
        <v>104</v>
      </c>
      <c r="E85" s="5" t="s">
        <v>101</v>
      </c>
      <c r="F85" s="4" t="str">
        <f>IFERROR(__xludf.DUMMYFUNCTION("IFERROR(INDEX(SPLIT(D85, ""_""), 5),"""")"),"SCIFIPistolBulletFly")</f>
        <v>SCIFIPistolBulletFly</v>
      </c>
      <c r="G85" s="4" t="str">
        <f>IFERROR(__xludf.DUMMYFUNCTION("IFERROR(INDEX(SPLIT(D85, ""_""), 6),"""")"),"Step2")</f>
        <v>Step2</v>
      </c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" t="s">
        <v>8</v>
      </c>
      <c r="B86" s="3" t="str">
        <f>IFERROR(__xludf.DUMMYFUNCTION("IFERROR(INDEX(SPLIT(D86, ""_""), 3),"""")"),"SCIWeap")</f>
        <v>SCIWeap</v>
      </c>
      <c r="C86" s="4" t="str">
        <f>IFERROR(__xludf.DUMMYFUNCTION("IFERROR(REGEXEXTRACT(D86, ""TII.*""), """")"),"TII_SCIWeap_Simple_SCIFIPistolBulletFly_Step2_Loop_Infinity_DESIGNED_02.wav")</f>
        <v>TII_SCIWeap_Simple_SCIFIPistolBulletFly_Step2_Loop_Infinity_DESIGNED_02.wav</v>
      </c>
      <c r="D86" s="5" t="s">
        <v>105</v>
      </c>
      <c r="E86" s="5" t="s">
        <v>101</v>
      </c>
      <c r="F86" s="4" t="str">
        <f>IFERROR(__xludf.DUMMYFUNCTION("IFERROR(INDEX(SPLIT(D86, ""_""), 5),"""")"),"SCIFIPistolBulletFly")</f>
        <v>SCIFIPistolBulletFly</v>
      </c>
      <c r="G86" s="4" t="str">
        <f>IFERROR(__xludf.DUMMYFUNCTION("IFERROR(INDEX(SPLIT(D86, ""_""), 6),"""")"),"Step2")</f>
        <v>Step2</v>
      </c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" t="s">
        <v>8</v>
      </c>
      <c r="B87" s="3" t="str">
        <f>IFERROR(__xludf.DUMMYFUNCTION("IFERROR(INDEX(SPLIT(D87, ""_""), 3),"""")"),"SCIWeap")</f>
        <v>SCIWeap</v>
      </c>
      <c r="C87" s="4" t="str">
        <f>IFERROR(__xludf.DUMMYFUNCTION("IFERROR(REGEXEXTRACT(D87, ""TII.*""), """")"),"TII_SCIWeap_Simple_SCIFIPistolBulletFly_Step2_Loop_Infinity_DESIGNED_03.wav")</f>
        <v>TII_SCIWeap_Simple_SCIFIPistolBulletFly_Step2_Loop_Infinity_DESIGNED_03.wav</v>
      </c>
      <c r="D87" s="5" t="s">
        <v>106</v>
      </c>
      <c r="E87" s="5" t="s">
        <v>101</v>
      </c>
      <c r="F87" s="4" t="str">
        <f>IFERROR(__xludf.DUMMYFUNCTION("IFERROR(INDEX(SPLIT(D87, ""_""), 5),"""")"),"SCIFIPistolBulletFly")</f>
        <v>SCIFIPistolBulletFly</v>
      </c>
      <c r="G87" s="4" t="str">
        <f>IFERROR(__xludf.DUMMYFUNCTION("IFERROR(INDEX(SPLIT(D87, ""_""), 6),"""")"),"Step2")</f>
        <v>Step2</v>
      </c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8</v>
      </c>
      <c r="B88" s="3" t="str">
        <f>IFERROR(__xludf.DUMMYFUNCTION("IFERROR(INDEX(SPLIT(D88, ""_""), 3),"""")"),"SCIWeap")</f>
        <v>SCIWeap</v>
      </c>
      <c r="C88" s="4" t="str">
        <f>IFERROR(__xludf.DUMMYFUNCTION("IFERROR(REGEXEXTRACT(D88, ""TII.*""), """")"),"TII_SCIWeap_SCIFISwoosh_Simple_Step2_DESIGNED_01.wav")</f>
        <v>TII_SCIWeap_SCIFISwoosh_Simple_Step2_DESIGNED_01.wav</v>
      </c>
      <c r="D88" s="5" t="s">
        <v>107</v>
      </c>
      <c r="E88" s="5" t="s">
        <v>108</v>
      </c>
      <c r="F88" s="4" t="str">
        <f>IFERROR(__xludf.DUMMYFUNCTION("IFERROR(INDEX(SPLIT(D88, ""_""), 5),"""")"),"Simple")</f>
        <v>Simple</v>
      </c>
      <c r="G88" s="4" t="str">
        <f>IFERROR(__xludf.DUMMYFUNCTION("IFERROR(INDEX(SPLIT(D88, ""_""), 6),"""")"),"Step2")</f>
        <v>Step2</v>
      </c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" t="s">
        <v>8</v>
      </c>
      <c r="B89" s="3" t="str">
        <f>IFERROR(__xludf.DUMMYFUNCTION("IFERROR(INDEX(SPLIT(D89, ""_""), 3),"""")"),"SCIWeap")</f>
        <v>SCIWeap</v>
      </c>
      <c r="C89" s="4" t="str">
        <f>IFERROR(__xludf.DUMMYFUNCTION("IFERROR(REGEXEXTRACT(D89, ""TII.*""), """")"),"TII_SCIWeap_SCIFISwoosh_Simple_Step2_DESIGNED_02.wav")</f>
        <v>TII_SCIWeap_SCIFISwoosh_Simple_Step2_DESIGNED_02.wav</v>
      </c>
      <c r="D89" s="5" t="s">
        <v>109</v>
      </c>
      <c r="E89" s="5" t="s">
        <v>108</v>
      </c>
      <c r="F89" s="4" t="str">
        <f>IFERROR(__xludf.DUMMYFUNCTION("IFERROR(INDEX(SPLIT(D89, ""_""), 5),"""")"),"Simple")</f>
        <v>Simple</v>
      </c>
      <c r="G89" s="4" t="str">
        <f>IFERROR(__xludf.DUMMYFUNCTION("IFERROR(INDEX(SPLIT(D89, ""_""), 6),"""")"),"Step2")</f>
        <v>Step2</v>
      </c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" t="s">
        <v>8</v>
      </c>
      <c r="B90" s="3" t="str">
        <f>IFERROR(__xludf.DUMMYFUNCTION("IFERROR(INDEX(SPLIT(D90, ""_""), 3),"""")"),"SCIWeap")</f>
        <v>SCIWeap</v>
      </c>
      <c r="C90" s="4" t="str">
        <f>IFERROR(__xludf.DUMMYFUNCTION("IFERROR(REGEXEXTRACT(D90, ""TII.*""), """")"),"TII_SCIWeap_SCIFISwoosh_Simple_Step2_DESIGNED_03.wav")</f>
        <v>TII_SCIWeap_SCIFISwoosh_Simple_Step2_DESIGNED_03.wav</v>
      </c>
      <c r="D90" s="5" t="s">
        <v>110</v>
      </c>
      <c r="E90" s="5" t="s">
        <v>108</v>
      </c>
      <c r="F90" s="4" t="str">
        <f>IFERROR(__xludf.DUMMYFUNCTION("IFERROR(INDEX(SPLIT(D90, ""_""), 5),"""")"),"Simple")</f>
        <v>Simple</v>
      </c>
      <c r="G90" s="4" t="str">
        <f>IFERROR(__xludf.DUMMYFUNCTION("IFERROR(INDEX(SPLIT(D90, ""_""), 6),"""")"),"Step2")</f>
        <v>Step2</v>
      </c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" t="s">
        <v>8</v>
      </c>
      <c r="B91" s="3" t="str">
        <f>IFERROR(__xludf.DUMMYFUNCTION("IFERROR(INDEX(SPLIT(D91, ""_""), 3),"""")"),"SCIWeap")</f>
        <v>SCIWeap</v>
      </c>
      <c r="C91" s="4" t="str">
        <f>IFERROR(__xludf.DUMMYFUNCTION("IFERROR(REGEXEXTRACT(D91, ""TII.*""), """")"),"TII_SCIWeap_SCIFISwoosh_Simple_Step2_DESIGNED_04.wav")</f>
        <v>TII_SCIWeap_SCIFISwoosh_Simple_Step2_DESIGNED_04.wav</v>
      </c>
      <c r="D91" s="5" t="s">
        <v>111</v>
      </c>
      <c r="E91" s="5" t="s">
        <v>108</v>
      </c>
      <c r="F91" s="4" t="str">
        <f>IFERROR(__xludf.DUMMYFUNCTION("IFERROR(INDEX(SPLIT(D91, ""_""), 5),"""")"),"Simple")</f>
        <v>Simple</v>
      </c>
      <c r="G91" s="4" t="str">
        <f>IFERROR(__xludf.DUMMYFUNCTION("IFERROR(INDEX(SPLIT(D91, ""_""), 6),"""")"),"Step2")</f>
        <v>Step2</v>
      </c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" t="s">
        <v>8</v>
      </c>
      <c r="B92" s="3" t="str">
        <f>IFERROR(__xludf.DUMMYFUNCTION("IFERROR(INDEX(SPLIT(D92, ""_""), 3),"""")"),"SCIWeap")</f>
        <v>SCIWeap</v>
      </c>
      <c r="C92" s="4" t="str">
        <f>IFERROR(__xludf.DUMMYFUNCTION("IFERROR(REGEXEXTRACT(D92, ""TII.*""), """")"),"TII_SCIWeap_SCIFISwoosh_Simple_Step2_DESIGNED_05.wav")</f>
        <v>TII_SCIWeap_SCIFISwoosh_Simple_Step2_DESIGNED_05.wav</v>
      </c>
      <c r="D92" s="5" t="s">
        <v>112</v>
      </c>
      <c r="E92" s="5" t="s">
        <v>108</v>
      </c>
      <c r="F92" s="4" t="str">
        <f>IFERROR(__xludf.DUMMYFUNCTION("IFERROR(INDEX(SPLIT(D92, ""_""), 5),"""")"),"Simple")</f>
        <v>Simple</v>
      </c>
      <c r="G92" s="4" t="str">
        <f>IFERROR(__xludf.DUMMYFUNCTION("IFERROR(INDEX(SPLIT(D92, ""_""), 6),"""")"),"Step2")</f>
        <v>Step2</v>
      </c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" t="s">
        <v>8</v>
      </c>
      <c r="B93" s="3" t="str">
        <f>IFERROR(__xludf.DUMMYFUNCTION("IFERROR(INDEX(SPLIT(D93, ""_""), 3),"""")"),"SCIWeap")</f>
        <v>SCIWeap</v>
      </c>
      <c r="C93" s="4" t="str">
        <f>IFERROR(__xludf.DUMMYFUNCTION("IFERROR(REGEXEXTRACT(D93, ""TII.*""), """")"),"TII_SCIWeap_SCIFISwoosh_Simple_Step2_DESIGNED_06.wav")</f>
        <v>TII_SCIWeap_SCIFISwoosh_Simple_Step2_DESIGNED_06.wav</v>
      </c>
      <c r="D93" s="5" t="s">
        <v>113</v>
      </c>
      <c r="E93" s="5" t="s">
        <v>108</v>
      </c>
      <c r="F93" s="4" t="str">
        <f>IFERROR(__xludf.DUMMYFUNCTION("IFERROR(INDEX(SPLIT(D93, ""_""), 5),"""")"),"Simple")</f>
        <v>Simple</v>
      </c>
      <c r="G93" s="4" t="str">
        <f>IFERROR(__xludf.DUMMYFUNCTION("IFERROR(INDEX(SPLIT(D93, ""_""), 6),"""")"),"Step2")</f>
        <v>Step2</v>
      </c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" t="s">
        <v>8</v>
      </c>
      <c r="B94" s="3" t="str">
        <f>IFERROR(__xludf.DUMMYFUNCTION("IFERROR(INDEX(SPLIT(D94, ""_""), 3),"""")"),"SCIWeap")</f>
        <v>SCIWeap</v>
      </c>
      <c r="C94" s="4" t="str">
        <f>IFERROR(__xludf.DUMMYFUNCTION("IFERROR(REGEXEXTRACT(D94, ""TII.*""), """")"),"TII_SCIWeap_SCIFISwoosh_Simple_Step2_DESIGNED_07.wav")</f>
        <v>TII_SCIWeap_SCIFISwoosh_Simple_Step2_DESIGNED_07.wav</v>
      </c>
      <c r="D94" s="5" t="s">
        <v>114</v>
      </c>
      <c r="E94" s="5" t="s">
        <v>108</v>
      </c>
      <c r="F94" s="4" t="str">
        <f>IFERROR(__xludf.DUMMYFUNCTION("IFERROR(INDEX(SPLIT(D94, ""_""), 5),"""")"),"Simple")</f>
        <v>Simple</v>
      </c>
      <c r="G94" s="4" t="str">
        <f>IFERROR(__xludf.DUMMYFUNCTION("IFERROR(INDEX(SPLIT(D94, ""_""), 6),"""")"),"Step2")</f>
        <v>Step2</v>
      </c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" t="s">
        <v>8</v>
      </c>
      <c r="B95" s="3" t="str">
        <f>IFERROR(__xludf.DUMMYFUNCTION("IFERROR(INDEX(SPLIT(D95, ""_""), 3),"""")"),"SCIWeap")</f>
        <v>SCIWeap</v>
      </c>
      <c r="C95" s="4" t="str">
        <f>IFERROR(__xludf.DUMMYFUNCTION("IFERROR(REGEXEXTRACT(D95, ""TII.*""), """")"),"TII_SCIWeap_SCIFISwoosh_Simple_Step2_DESIGNED_08.wav")</f>
        <v>TII_SCIWeap_SCIFISwoosh_Simple_Step2_DESIGNED_08.wav</v>
      </c>
      <c r="D95" s="5" t="s">
        <v>115</v>
      </c>
      <c r="E95" s="5" t="s">
        <v>108</v>
      </c>
      <c r="F95" s="4" t="str">
        <f>IFERROR(__xludf.DUMMYFUNCTION("IFERROR(INDEX(SPLIT(D95, ""_""), 5),"""")"),"Simple")</f>
        <v>Simple</v>
      </c>
      <c r="G95" s="4" t="str">
        <f>IFERROR(__xludf.DUMMYFUNCTION("IFERROR(INDEX(SPLIT(D95, ""_""), 6),"""")"),"Step2")</f>
        <v>Step2</v>
      </c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" t="s">
        <v>8</v>
      </c>
      <c r="B96" s="3" t="str">
        <f>IFERROR(__xludf.DUMMYFUNCTION("IFERROR(INDEX(SPLIT(D96, ""_""), 3),"""")"),"SCIWeap")</f>
        <v>SCIWeap</v>
      </c>
      <c r="C96" s="4" t="str">
        <f>IFERROR(__xludf.DUMMYFUNCTION("IFERROR(REGEXEXTRACT(D96, ""TII.*""), """")"),"TII_SCIWeap_SCIFISwoosh_Simple_Step2_DESIGNED_09.wav")</f>
        <v>TII_SCIWeap_SCIFISwoosh_Simple_Step2_DESIGNED_09.wav</v>
      </c>
      <c r="D96" s="5" t="s">
        <v>116</v>
      </c>
      <c r="E96" s="5" t="s">
        <v>108</v>
      </c>
      <c r="F96" s="4" t="str">
        <f>IFERROR(__xludf.DUMMYFUNCTION("IFERROR(INDEX(SPLIT(D96, ""_""), 5),"""")"),"Simple")</f>
        <v>Simple</v>
      </c>
      <c r="G96" s="4" t="str">
        <f>IFERROR(__xludf.DUMMYFUNCTION("IFERROR(INDEX(SPLIT(D96, ""_""), 6),"""")"),"Step2")</f>
        <v>Step2</v>
      </c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" t="s">
        <v>8</v>
      </c>
      <c r="B97" s="3" t="str">
        <f>IFERROR(__xludf.DUMMYFUNCTION("IFERROR(INDEX(SPLIT(D97, ""_""), 3),"""")"),"SCIWeap")</f>
        <v>SCIWeap</v>
      </c>
      <c r="C97" s="4" t="str">
        <f>IFERROR(__xludf.DUMMYFUNCTION("IFERROR(REGEXEXTRACT(D97, ""TII.*""), """")"),"TII_SCIWeap_SCIFISwoosh_Simple_Step2_DESIGNED_10.wav")</f>
        <v>TII_SCIWeap_SCIFISwoosh_Simple_Step2_DESIGNED_10.wav</v>
      </c>
      <c r="D97" s="5" t="s">
        <v>117</v>
      </c>
      <c r="E97" s="5" t="s">
        <v>108</v>
      </c>
      <c r="F97" s="4" t="str">
        <f>IFERROR(__xludf.DUMMYFUNCTION("IFERROR(INDEX(SPLIT(D97, ""_""), 5),"""")"),"Simple")</f>
        <v>Simple</v>
      </c>
      <c r="G97" s="4" t="str">
        <f>IFERROR(__xludf.DUMMYFUNCTION("IFERROR(INDEX(SPLIT(D97, ""_""), 6),"""")"),"Step2")</f>
        <v>Step2</v>
      </c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" t="s">
        <v>8</v>
      </c>
      <c r="B98" s="3" t="str">
        <f>IFERROR(__xludf.DUMMYFUNCTION("IFERROR(INDEX(SPLIT(D98, ""_""), 3),"""")"),"SCIWeap")</f>
        <v>SCIWeap</v>
      </c>
      <c r="C98" s="4" t="str">
        <f>IFERROR(__xludf.DUMMYFUNCTION("IFERROR(REGEXEXTRACT(D98, ""TII.*""), """")"),"TII_SCIWeap_SCIFISwoosh_Simple_Step2_DESIGNED_Package.wav")</f>
        <v>TII_SCIWeap_SCIFISwoosh_Simple_Step2_DESIGNED_Package.wav</v>
      </c>
      <c r="D98" s="5" t="s">
        <v>118</v>
      </c>
      <c r="E98" s="5" t="s">
        <v>108</v>
      </c>
      <c r="F98" s="4" t="str">
        <f>IFERROR(__xludf.DUMMYFUNCTION("IFERROR(INDEX(SPLIT(D98, ""_""), 5),"""")"),"Simple")</f>
        <v>Simple</v>
      </c>
      <c r="G98" s="4" t="str">
        <f>IFERROR(__xludf.DUMMYFUNCTION("IFERROR(INDEX(SPLIT(D98, ""_""), 6),"""")"),"Step2")</f>
        <v>Step2</v>
      </c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" t="s">
        <v>8</v>
      </c>
      <c r="B99" s="3" t="str">
        <f>IFERROR(__xludf.DUMMYFUNCTION("IFERROR(INDEX(SPLIT(D99, ""_""), 3),"""")"),"SCIWeap")</f>
        <v>SCIWeap</v>
      </c>
      <c r="C99" s="4" t="str">
        <f>IFERROR(__xludf.DUMMYFUNCTION("IFERROR(REGEXEXTRACT(D99, ""TII.*""), """")"),"TII_SCIWeap_BlackHoleExplosion_Complex_Step3_DESIGNED_01.wav")</f>
        <v>TII_SCIWeap_BlackHoleExplosion_Complex_Step3_DESIGNED_01.wav</v>
      </c>
      <c r="D99" s="5" t="s">
        <v>119</v>
      </c>
      <c r="E99" s="5" t="s">
        <v>120</v>
      </c>
      <c r="F99" s="4" t="str">
        <f>IFERROR(__xludf.DUMMYFUNCTION("IFERROR(INDEX(SPLIT(D99, ""_""), 5),"""")"),"Complex")</f>
        <v>Complex</v>
      </c>
      <c r="G99" s="4" t="str">
        <f>IFERROR(__xludf.DUMMYFUNCTION("IFERROR(INDEX(SPLIT(D99, ""_""), 6),"""")"),"Step3")</f>
        <v>Step3</v>
      </c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" t="s">
        <v>8</v>
      </c>
      <c r="B100" s="3" t="str">
        <f>IFERROR(__xludf.DUMMYFUNCTION("IFERROR(INDEX(SPLIT(D100, ""_""), 3),"""")"),"SCIWeap")</f>
        <v>SCIWeap</v>
      </c>
      <c r="C100" s="4" t="str">
        <f>IFERROR(__xludf.DUMMYFUNCTION("IFERROR(REGEXEXTRACT(D100, ""TII.*""), """")"),"TII_SCIWeap_BlackHoleExplosion_Complex_Step3_DESIGNED_02.wav")</f>
        <v>TII_SCIWeap_BlackHoleExplosion_Complex_Step3_DESIGNED_02.wav</v>
      </c>
      <c r="D100" s="5" t="s">
        <v>121</v>
      </c>
      <c r="E100" s="5" t="s">
        <v>120</v>
      </c>
      <c r="F100" s="4" t="str">
        <f>IFERROR(__xludf.DUMMYFUNCTION("IFERROR(INDEX(SPLIT(D100, ""_""), 5),"""")"),"Complex")</f>
        <v>Complex</v>
      </c>
      <c r="G100" s="4" t="str">
        <f>IFERROR(__xludf.DUMMYFUNCTION("IFERROR(INDEX(SPLIT(D100, ""_""), 6),"""")"),"Step3")</f>
        <v>Step3</v>
      </c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" t="s">
        <v>8</v>
      </c>
      <c r="B101" s="3" t="str">
        <f>IFERROR(__xludf.DUMMYFUNCTION("IFERROR(INDEX(SPLIT(D101, ""_""), 3),"""")"),"SCIWeap")</f>
        <v>SCIWeap</v>
      </c>
      <c r="C101" s="4" t="str">
        <f>IFERROR(__xludf.DUMMYFUNCTION("IFERROR(REGEXEXTRACT(D101, ""TII.*""), """")"),"TII_SCIWeap_BlackHoleExplosion_Complex_Step3_DESIGNED_03.wav")</f>
        <v>TII_SCIWeap_BlackHoleExplosion_Complex_Step3_DESIGNED_03.wav</v>
      </c>
      <c r="D101" s="5" t="s">
        <v>122</v>
      </c>
      <c r="E101" s="5" t="s">
        <v>120</v>
      </c>
      <c r="F101" s="4" t="str">
        <f>IFERROR(__xludf.DUMMYFUNCTION("IFERROR(INDEX(SPLIT(D101, ""_""), 5),"""")"),"Complex")</f>
        <v>Complex</v>
      </c>
      <c r="G101" s="4" t="str">
        <f>IFERROR(__xludf.DUMMYFUNCTION("IFERROR(INDEX(SPLIT(D101, ""_""), 6),"""")"),"Step3")</f>
        <v>Step3</v>
      </c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" t="s">
        <v>8</v>
      </c>
      <c r="B102" s="3" t="str">
        <f>IFERROR(__xludf.DUMMYFUNCTION("IFERROR(INDEX(SPLIT(D102, ""_""), 3),"""")"),"SCIWeap")</f>
        <v>SCIWeap</v>
      </c>
      <c r="C102" s="4" t="str">
        <f>IFERROR(__xludf.DUMMYFUNCTION("IFERROR(REGEXEXTRACT(D102, ""TII.*""), """")"),"TII_SCIWeap_BlackHoleExplosion_Complex_Step3_DESIGNED_04.wav")</f>
        <v>TII_SCIWeap_BlackHoleExplosion_Complex_Step3_DESIGNED_04.wav</v>
      </c>
      <c r="D102" s="5" t="s">
        <v>123</v>
      </c>
      <c r="E102" s="5" t="s">
        <v>120</v>
      </c>
      <c r="F102" s="4" t="str">
        <f>IFERROR(__xludf.DUMMYFUNCTION("IFERROR(INDEX(SPLIT(D102, ""_""), 5),"""")"),"Complex")</f>
        <v>Complex</v>
      </c>
      <c r="G102" s="4" t="str">
        <f>IFERROR(__xludf.DUMMYFUNCTION("IFERROR(INDEX(SPLIT(D102, ""_""), 6),"""")"),"Step3")</f>
        <v>Step3</v>
      </c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" t="s">
        <v>8</v>
      </c>
      <c r="B103" s="3" t="str">
        <f>IFERROR(__xludf.DUMMYFUNCTION("IFERROR(INDEX(SPLIT(D103, ""_""), 3),"""")"),"SCIWeap")</f>
        <v>SCIWeap</v>
      </c>
      <c r="C103" s="4" t="str">
        <f>IFERROR(__xludf.DUMMYFUNCTION("IFERROR(REGEXEXTRACT(D103, ""TII.*""), """")"),"TII_SCIWeap_BlackHoleExplosion_Complex_Step3_DESIGNED_05.wav")</f>
        <v>TII_SCIWeap_BlackHoleExplosion_Complex_Step3_DESIGNED_05.wav</v>
      </c>
      <c r="D103" s="5" t="s">
        <v>124</v>
      </c>
      <c r="E103" s="5" t="s">
        <v>120</v>
      </c>
      <c r="F103" s="4" t="str">
        <f>IFERROR(__xludf.DUMMYFUNCTION("IFERROR(INDEX(SPLIT(D103, ""_""), 5),"""")"),"Complex")</f>
        <v>Complex</v>
      </c>
      <c r="G103" s="4" t="str">
        <f>IFERROR(__xludf.DUMMYFUNCTION("IFERROR(INDEX(SPLIT(D103, ""_""), 6),"""")"),"Step3")</f>
        <v>Step3</v>
      </c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" t="s">
        <v>8</v>
      </c>
      <c r="B104" s="3" t="str">
        <f>IFERROR(__xludf.DUMMYFUNCTION("IFERROR(INDEX(SPLIT(D104, ""_""), 3),"""")"),"SCIWeap")</f>
        <v>SCIWeap</v>
      </c>
      <c r="C104" s="4" t="str">
        <f>IFERROR(__xludf.DUMMYFUNCTION("IFERROR(REGEXEXTRACT(D104, ""TII.*""), """")"),"TII_SCIWeap_BlackHoleExplosion_Complex_Step3_DESIGNED_Package.wav")</f>
        <v>TII_SCIWeap_BlackHoleExplosion_Complex_Step3_DESIGNED_Package.wav</v>
      </c>
      <c r="D104" s="5" t="s">
        <v>125</v>
      </c>
      <c r="E104" s="5" t="s">
        <v>120</v>
      </c>
      <c r="F104" s="4" t="str">
        <f>IFERROR(__xludf.DUMMYFUNCTION("IFERROR(INDEX(SPLIT(D104, ""_""), 5),"""")"),"Complex")</f>
        <v>Complex</v>
      </c>
      <c r="G104" s="4" t="str">
        <f>IFERROR(__xludf.DUMMYFUNCTION("IFERROR(INDEX(SPLIT(D104, ""_""), 6),"""")"),"Step3")</f>
        <v>Step3</v>
      </c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" t="s">
        <v>8</v>
      </c>
      <c r="B105" s="3" t="str">
        <f>IFERROR(__xludf.DUMMYFUNCTION("IFERROR(INDEX(SPLIT(D105, ""_""), 3),"""")"),"SCIWeap")</f>
        <v>SCIWeap</v>
      </c>
      <c r="C105" s="4" t="str">
        <f>IFERROR(__xludf.DUMMYFUNCTION("IFERROR(REGEXEXTRACT(D105, ""TII.*""), """")"),"TII_SCIWeap_ChargeCannonShoot_Complex_Step3_DESIGNED_01.wav")</f>
        <v>TII_SCIWeap_ChargeCannonShoot_Complex_Step3_DESIGNED_01.wav</v>
      </c>
      <c r="D105" s="5" t="s">
        <v>126</v>
      </c>
      <c r="E105" s="5" t="s">
        <v>127</v>
      </c>
      <c r="F105" s="4" t="str">
        <f>IFERROR(__xludf.DUMMYFUNCTION("IFERROR(INDEX(SPLIT(D105, ""_""), 5),"""")"),"Complex")</f>
        <v>Complex</v>
      </c>
      <c r="G105" s="4" t="str">
        <f>IFERROR(__xludf.DUMMYFUNCTION("IFERROR(INDEX(SPLIT(D105, ""_""), 6),"""")"),"Step3")</f>
        <v>Step3</v>
      </c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" t="s">
        <v>8</v>
      </c>
      <c r="B106" s="3" t="str">
        <f>IFERROR(__xludf.DUMMYFUNCTION("IFERROR(INDEX(SPLIT(D106, ""_""), 3),"""")"),"SCIWeap")</f>
        <v>SCIWeap</v>
      </c>
      <c r="C106" s="5" t="s">
        <v>128</v>
      </c>
      <c r="D106" s="5" t="s">
        <v>129</v>
      </c>
      <c r="E106" s="5" t="s">
        <v>127</v>
      </c>
      <c r="F106" s="4" t="str">
        <f>IFERROR(__xludf.DUMMYFUNCTION("IFERROR(INDEX(SPLIT(D106, ""_""), 5),"""")"),"Complex")</f>
        <v>Complex</v>
      </c>
      <c r="G106" s="4" t="str">
        <f>IFERROR(__xludf.DUMMYFUNCTION("IFERROR(INDEX(SPLIT(D106, ""_""), 6),"""")"),"Step3")</f>
        <v>Step3</v>
      </c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" t="s">
        <v>8</v>
      </c>
      <c r="B107" s="3" t="str">
        <f>IFERROR(__xludf.DUMMYFUNCTION("IFERROR(INDEX(SPLIT(D107, ""_""), 3),"""")"),"SCIWeap")</f>
        <v>SCIWeap</v>
      </c>
      <c r="C107" s="4" t="str">
        <f>IFERROR(__xludf.DUMMYFUNCTION("IFERROR(REGEXEXTRACT(D107, ""TII.*""), """")"),"TII_SCIWeap_ChargeCannonShoot_Complex_Step3_DESIGNED_03.wav")</f>
        <v>TII_SCIWeap_ChargeCannonShoot_Complex_Step3_DESIGNED_03.wav</v>
      </c>
      <c r="D107" s="5" t="s">
        <v>130</v>
      </c>
      <c r="E107" s="5" t="s">
        <v>127</v>
      </c>
      <c r="F107" s="4" t="str">
        <f>IFERROR(__xludf.DUMMYFUNCTION("IFERROR(INDEX(SPLIT(D107, ""_""), 5),"""")"),"Complex")</f>
        <v>Complex</v>
      </c>
      <c r="G107" s="4" t="str">
        <f>IFERROR(__xludf.DUMMYFUNCTION("IFERROR(INDEX(SPLIT(D107, ""_""), 6),"""")"),"Step3")</f>
        <v>Step3</v>
      </c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" t="s">
        <v>8</v>
      </c>
      <c r="B108" s="3" t="str">
        <f>IFERROR(__xludf.DUMMYFUNCTION("IFERROR(INDEX(SPLIT(D108, ""_""), 3),"""")"),"SCIWeap")</f>
        <v>SCIWeap</v>
      </c>
      <c r="C108" s="4" t="str">
        <f>IFERROR(__xludf.DUMMYFUNCTION("IFERROR(REGEXEXTRACT(D108, ""TII.*""), """")"),"TII_SCIWeap_ChargeCannonShoot_Complex_Step3_DESIGNED_04.wav")</f>
        <v>TII_SCIWeap_ChargeCannonShoot_Complex_Step3_DESIGNED_04.wav</v>
      </c>
      <c r="D108" s="5" t="s">
        <v>131</v>
      </c>
      <c r="E108" s="5" t="s">
        <v>127</v>
      </c>
      <c r="F108" s="4" t="str">
        <f>IFERROR(__xludf.DUMMYFUNCTION("IFERROR(INDEX(SPLIT(D108, ""_""), 5),"""")"),"Complex")</f>
        <v>Complex</v>
      </c>
      <c r="G108" s="4" t="str">
        <f>IFERROR(__xludf.DUMMYFUNCTION("IFERROR(INDEX(SPLIT(D108, ""_""), 6),"""")"),"Step3")</f>
        <v>Step3</v>
      </c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8</v>
      </c>
      <c r="B109" s="3" t="str">
        <f>IFERROR(__xludf.DUMMYFUNCTION("IFERROR(INDEX(SPLIT(D109, ""_""), 3),"""")"),"SCIWeap")</f>
        <v>SCIWeap</v>
      </c>
      <c r="C109" s="4" t="str">
        <f>IFERROR(__xludf.DUMMYFUNCTION("IFERROR(REGEXEXTRACT(D109, ""TII.*""), """")"),"TII_SCIWeap_ChargeCannonShoot_Complex_Step3_DESIGNED_05.wav")</f>
        <v>TII_SCIWeap_ChargeCannonShoot_Complex_Step3_DESIGNED_05.wav</v>
      </c>
      <c r="D109" s="5" t="s">
        <v>132</v>
      </c>
      <c r="E109" s="5" t="s">
        <v>127</v>
      </c>
      <c r="F109" s="4" t="str">
        <f>IFERROR(__xludf.DUMMYFUNCTION("IFERROR(INDEX(SPLIT(D109, ""_""), 5),"""")"),"Complex")</f>
        <v>Complex</v>
      </c>
      <c r="G109" s="4" t="str">
        <f>IFERROR(__xludf.DUMMYFUNCTION("IFERROR(INDEX(SPLIT(D109, ""_""), 6),"""")"),"Step3")</f>
        <v>Step3</v>
      </c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" t="s">
        <v>8</v>
      </c>
      <c r="B110" s="3" t="str">
        <f>IFERROR(__xludf.DUMMYFUNCTION("IFERROR(INDEX(SPLIT(D110, ""_""), 3),"""")"),"SCIWeap")</f>
        <v>SCIWeap</v>
      </c>
      <c r="C110" s="4" t="str">
        <f>IFERROR(__xludf.DUMMYFUNCTION("IFERROR(REGEXEXTRACT(D110, ""TII.*""), """")"),"TII_SCIWeap_ChargeCannonShoot_Complex_Step3_DESIGNED_06.wav")</f>
        <v>TII_SCIWeap_ChargeCannonShoot_Complex_Step3_DESIGNED_06.wav</v>
      </c>
      <c r="D110" s="5" t="s">
        <v>133</v>
      </c>
      <c r="E110" s="5" t="s">
        <v>127</v>
      </c>
      <c r="F110" s="4" t="str">
        <f>IFERROR(__xludf.DUMMYFUNCTION("IFERROR(INDEX(SPLIT(D110, ""_""), 5),"""")"),"Complex")</f>
        <v>Complex</v>
      </c>
      <c r="G110" s="4" t="str">
        <f>IFERROR(__xludf.DUMMYFUNCTION("IFERROR(INDEX(SPLIT(D110, ""_""), 6),"""")"),"Step3")</f>
        <v>Step3</v>
      </c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" t="s">
        <v>8</v>
      </c>
      <c r="B111" s="3" t="str">
        <f>IFERROR(__xludf.DUMMYFUNCTION("IFERROR(INDEX(SPLIT(D111, ""_""), 3),"""")"),"SCIWeap")</f>
        <v>SCIWeap</v>
      </c>
      <c r="C111" s="4" t="str">
        <f>IFERROR(__xludf.DUMMYFUNCTION("IFERROR(REGEXEXTRACT(D111, ""TII.*""), """")"),"TII_SCIWeap_ChargeCannonShoot_Complex_Step3_DESIGNED_07.wav")</f>
        <v>TII_SCIWeap_ChargeCannonShoot_Complex_Step3_DESIGNED_07.wav</v>
      </c>
      <c r="D111" s="5" t="s">
        <v>134</v>
      </c>
      <c r="E111" s="5" t="s">
        <v>127</v>
      </c>
      <c r="F111" s="4" t="str">
        <f>IFERROR(__xludf.DUMMYFUNCTION("IFERROR(INDEX(SPLIT(D111, ""_""), 5),"""")"),"Complex")</f>
        <v>Complex</v>
      </c>
      <c r="G111" s="4" t="str">
        <f>IFERROR(__xludf.DUMMYFUNCTION("IFERROR(INDEX(SPLIT(D111, ""_""), 6),"""")"),"Step3")</f>
        <v>Step3</v>
      </c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" t="s">
        <v>8</v>
      </c>
      <c r="B112" s="3" t="str">
        <f>IFERROR(__xludf.DUMMYFUNCTION("IFERROR(INDEX(SPLIT(D112, ""_""), 3),"""")"),"SCIWeap")</f>
        <v>SCIWeap</v>
      </c>
      <c r="C112" s="4" t="str">
        <f>IFERROR(__xludf.DUMMYFUNCTION("IFERROR(REGEXEXTRACT(D112, ""TII.*""), """")"),"TII_SCIWeap_ChargeCannonShoot_Complex_Step3_DESIGNED_08.wav")</f>
        <v>TII_SCIWeap_ChargeCannonShoot_Complex_Step3_DESIGNED_08.wav</v>
      </c>
      <c r="D112" s="5" t="s">
        <v>135</v>
      </c>
      <c r="E112" s="5" t="s">
        <v>127</v>
      </c>
      <c r="F112" s="4" t="str">
        <f>IFERROR(__xludf.DUMMYFUNCTION("IFERROR(INDEX(SPLIT(D112, ""_""), 5),"""")"),"Complex")</f>
        <v>Complex</v>
      </c>
      <c r="G112" s="4" t="str">
        <f>IFERROR(__xludf.DUMMYFUNCTION("IFERROR(INDEX(SPLIT(D112, ""_""), 6),"""")"),"Step3")</f>
        <v>Step3</v>
      </c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" t="s">
        <v>8</v>
      </c>
      <c r="B113" s="3" t="str">
        <f>IFERROR(__xludf.DUMMYFUNCTION("IFERROR(INDEX(SPLIT(D113, ""_""), 3),"""")"),"SCIWeap")</f>
        <v>SCIWeap</v>
      </c>
      <c r="C113" s="4" t="str">
        <f>IFERROR(__xludf.DUMMYFUNCTION("IFERROR(REGEXEXTRACT(D113, ""TII.*""), """")"),"TII_SCIWeap_ChargeCannonShoot_Complex_Step3_DESIGNED_Package.wav")</f>
        <v>TII_SCIWeap_ChargeCannonShoot_Complex_Step3_DESIGNED_Package.wav</v>
      </c>
      <c r="D113" s="5" t="s">
        <v>136</v>
      </c>
      <c r="E113" s="5" t="s">
        <v>127</v>
      </c>
      <c r="F113" s="4" t="str">
        <f>IFERROR(__xludf.DUMMYFUNCTION("IFERROR(INDEX(SPLIT(D113, ""_""), 5),"""")"),"Complex")</f>
        <v>Complex</v>
      </c>
      <c r="G113" s="4" t="str">
        <f>IFERROR(__xludf.DUMMYFUNCTION("IFERROR(INDEX(SPLIT(D113, ""_""), 6),"""")"),"Step3")</f>
        <v>Step3</v>
      </c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" t="s">
        <v>8</v>
      </c>
      <c r="B114" s="3" t="str">
        <f>IFERROR(__xludf.DUMMYFUNCTION("IFERROR(INDEX(SPLIT(D114, ""_""), 3),"""")"),"SCIWeap")</f>
        <v>SCIWeap</v>
      </c>
      <c r="C114" s="4" t="str">
        <f>IFERROR(__xludf.DUMMYFUNCTION("IFERROR(REGEXEXTRACT(D114, ""TII.*""), """")"),"TII_SCIWeap_SatelliteBeamShoot_Complex_Step3_DESIGNED_01.wav")</f>
        <v>TII_SCIWeap_SatelliteBeamShoot_Complex_Step3_DESIGNED_01.wav</v>
      </c>
      <c r="D114" s="5" t="s">
        <v>137</v>
      </c>
      <c r="E114" s="5" t="s">
        <v>138</v>
      </c>
      <c r="F114" s="4" t="str">
        <f>IFERROR(__xludf.DUMMYFUNCTION("IFERROR(INDEX(SPLIT(D114, ""_""), 5),"""")"),"Complex")</f>
        <v>Complex</v>
      </c>
      <c r="G114" s="4" t="str">
        <f>IFERROR(__xludf.DUMMYFUNCTION("IFERROR(INDEX(SPLIT(D114, ""_""), 6),"""")"),"Step3")</f>
        <v>Step3</v>
      </c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" t="s">
        <v>8</v>
      </c>
      <c r="B115" s="3" t="str">
        <f>IFERROR(__xludf.DUMMYFUNCTION("IFERROR(INDEX(SPLIT(D115, ""_""), 3),"""")"),"SCIWeap")</f>
        <v>SCIWeap</v>
      </c>
      <c r="C115" s="4" t="str">
        <f>IFERROR(__xludf.DUMMYFUNCTION("IFERROR(REGEXEXTRACT(D115, ""TII.*""), """")"),"TII_SCIWeap_SatelliteBeamShoot_Complex_Step3_DESIGNED_02.wav")</f>
        <v>TII_SCIWeap_SatelliteBeamShoot_Complex_Step3_DESIGNED_02.wav</v>
      </c>
      <c r="D115" s="5" t="s">
        <v>139</v>
      </c>
      <c r="E115" s="5" t="s">
        <v>138</v>
      </c>
      <c r="F115" s="4" t="str">
        <f>IFERROR(__xludf.DUMMYFUNCTION("IFERROR(INDEX(SPLIT(D115, ""_""), 5),"""")"),"Complex")</f>
        <v>Complex</v>
      </c>
      <c r="G115" s="4" t="str">
        <f>IFERROR(__xludf.DUMMYFUNCTION("IFERROR(INDEX(SPLIT(D115, ""_""), 6),"""")"),"Step3")</f>
        <v>Step3</v>
      </c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" t="s">
        <v>8</v>
      </c>
      <c r="B116" s="3" t="str">
        <f>IFERROR(__xludf.DUMMYFUNCTION("IFERROR(INDEX(SPLIT(D116, ""_""), 3),"""")"),"SCIWeap")</f>
        <v>SCIWeap</v>
      </c>
      <c r="C116" s="4" t="str">
        <f>IFERROR(__xludf.DUMMYFUNCTION("IFERROR(REGEXEXTRACT(D116, ""TII.*""), """")"),"TII_SCIWeap_SatelliteBeamShoot_Complex_Step3_DESIGNED_03.wav")</f>
        <v>TII_SCIWeap_SatelliteBeamShoot_Complex_Step3_DESIGNED_03.wav</v>
      </c>
      <c r="D116" s="5" t="s">
        <v>140</v>
      </c>
      <c r="E116" s="5" t="s">
        <v>138</v>
      </c>
      <c r="F116" s="4" t="str">
        <f>IFERROR(__xludf.DUMMYFUNCTION("IFERROR(INDEX(SPLIT(D116, ""_""), 5),"""")"),"Complex")</f>
        <v>Complex</v>
      </c>
      <c r="G116" s="4" t="str">
        <f>IFERROR(__xludf.DUMMYFUNCTION("IFERROR(INDEX(SPLIT(D116, ""_""), 6),"""")"),"Step3")</f>
        <v>Step3</v>
      </c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" t="s">
        <v>8</v>
      </c>
      <c r="B117" s="3" t="str">
        <f>IFERROR(__xludf.DUMMYFUNCTION("IFERROR(INDEX(SPLIT(D117, ""_""), 3),"""")"),"SCIWeap")</f>
        <v>SCIWeap</v>
      </c>
      <c r="C117" s="4" t="str">
        <f>IFERROR(__xludf.DUMMYFUNCTION("IFERROR(REGEXEXTRACT(D117, ""TII.*""), """")"),"TII_SCIWeap_SatelliteBeamShoot_Complex_Step3_DESIGNED_04.wav")</f>
        <v>TII_SCIWeap_SatelliteBeamShoot_Complex_Step3_DESIGNED_04.wav</v>
      </c>
      <c r="D117" s="5" t="s">
        <v>141</v>
      </c>
      <c r="E117" s="5" t="s">
        <v>138</v>
      </c>
      <c r="F117" s="4" t="str">
        <f>IFERROR(__xludf.DUMMYFUNCTION("IFERROR(INDEX(SPLIT(D117, ""_""), 5),"""")"),"Complex")</f>
        <v>Complex</v>
      </c>
      <c r="G117" s="4" t="str">
        <f>IFERROR(__xludf.DUMMYFUNCTION("IFERROR(INDEX(SPLIT(D117, ""_""), 6),"""")"),"Step3")</f>
        <v>Step3</v>
      </c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" t="s">
        <v>8</v>
      </c>
      <c r="B118" s="3" t="str">
        <f>IFERROR(__xludf.DUMMYFUNCTION("IFERROR(INDEX(SPLIT(D118, ""_""), 3),"""")"),"SCIWeap")</f>
        <v>SCIWeap</v>
      </c>
      <c r="C118" s="4" t="str">
        <f>IFERROR(__xludf.DUMMYFUNCTION("IFERROR(REGEXEXTRACT(D118, ""TII.*""), """")"),"TII_SCIWeap_SatelliteBeamShoot_Complex_Step3_DESIGNED_05.wav")</f>
        <v>TII_SCIWeap_SatelliteBeamShoot_Complex_Step3_DESIGNED_05.wav</v>
      </c>
      <c r="D118" s="5" t="s">
        <v>142</v>
      </c>
      <c r="E118" s="5" t="s">
        <v>138</v>
      </c>
      <c r="F118" s="4" t="str">
        <f>IFERROR(__xludf.DUMMYFUNCTION("IFERROR(INDEX(SPLIT(D118, ""_""), 5),"""")"),"Complex")</f>
        <v>Complex</v>
      </c>
      <c r="G118" s="4" t="str">
        <f>IFERROR(__xludf.DUMMYFUNCTION("IFERROR(INDEX(SPLIT(D118, ""_""), 6),"""")"),"Step3")</f>
        <v>Step3</v>
      </c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" t="s">
        <v>8</v>
      </c>
      <c r="B119" s="3" t="str">
        <f>IFERROR(__xludf.DUMMYFUNCTION("IFERROR(INDEX(SPLIT(D119, ""_""), 3),"""")"),"SCIWeap")</f>
        <v>SCIWeap</v>
      </c>
      <c r="C119" s="4" t="str">
        <f>IFERROR(__xludf.DUMMYFUNCTION("IFERROR(REGEXEXTRACT(D119, ""TII.*""), """")"),"TII_SCIWeap_SatelliteBeamShoot_Complex_Step3_DESIGNED_06.wav")</f>
        <v>TII_SCIWeap_SatelliteBeamShoot_Complex_Step3_DESIGNED_06.wav</v>
      </c>
      <c r="D119" s="5" t="s">
        <v>143</v>
      </c>
      <c r="E119" s="5" t="s">
        <v>138</v>
      </c>
      <c r="F119" s="4" t="str">
        <f>IFERROR(__xludf.DUMMYFUNCTION("IFERROR(INDEX(SPLIT(D119, ""_""), 5),"""")"),"Complex")</f>
        <v>Complex</v>
      </c>
      <c r="G119" s="4" t="str">
        <f>IFERROR(__xludf.DUMMYFUNCTION("IFERROR(INDEX(SPLIT(D119, ""_""), 6),"""")"),"Step3")</f>
        <v>Step3</v>
      </c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" t="s">
        <v>8</v>
      </c>
      <c r="B120" s="3" t="str">
        <f>IFERROR(__xludf.DUMMYFUNCTION("IFERROR(INDEX(SPLIT(D120, ""_""), 3),"""")"),"SCIWeap")</f>
        <v>SCIWeap</v>
      </c>
      <c r="C120" s="4" t="str">
        <f>IFERROR(__xludf.DUMMYFUNCTION("IFERROR(REGEXEXTRACT(D120, ""TII.*""), """")"),"TII_SCIWeap_SatelliteBeamShoot_Complex_Step3_DESIGNED_07.wav")</f>
        <v>TII_SCIWeap_SatelliteBeamShoot_Complex_Step3_DESIGNED_07.wav</v>
      </c>
      <c r="D120" s="5" t="s">
        <v>144</v>
      </c>
      <c r="E120" s="5" t="s">
        <v>138</v>
      </c>
      <c r="F120" s="4" t="str">
        <f>IFERROR(__xludf.DUMMYFUNCTION("IFERROR(INDEX(SPLIT(D120, ""_""), 5),"""")"),"Complex")</f>
        <v>Complex</v>
      </c>
      <c r="G120" s="4" t="str">
        <f>IFERROR(__xludf.DUMMYFUNCTION("IFERROR(INDEX(SPLIT(D120, ""_""), 6),"""")"),"Step3")</f>
        <v>Step3</v>
      </c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" t="s">
        <v>8</v>
      </c>
      <c r="B121" s="3" t="str">
        <f>IFERROR(__xludf.DUMMYFUNCTION("IFERROR(INDEX(SPLIT(D121, ""_""), 3),"""")"),"SCIWeap")</f>
        <v>SCIWeap</v>
      </c>
      <c r="C121" s="4" t="str">
        <f>IFERROR(__xludf.DUMMYFUNCTION("IFERROR(REGEXEXTRACT(D121, ""TII.*""), """")"),"TII_SCIWeap_SatelliteBeamShoot_Complex_Step3_DESIGNED_Package.wav")</f>
        <v>TII_SCIWeap_SatelliteBeamShoot_Complex_Step3_DESIGNED_Package.wav</v>
      </c>
      <c r="D121" s="5" t="s">
        <v>145</v>
      </c>
      <c r="E121" s="5" t="s">
        <v>138</v>
      </c>
      <c r="F121" s="4" t="str">
        <f>IFERROR(__xludf.DUMMYFUNCTION("IFERROR(INDEX(SPLIT(D121, ""_""), 5),"""")"),"Complex")</f>
        <v>Complex</v>
      </c>
      <c r="G121" s="4" t="str">
        <f>IFERROR(__xludf.DUMMYFUNCTION("IFERROR(INDEX(SPLIT(D121, ""_""), 6),"""")"),"Step3")</f>
        <v>Step3</v>
      </c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" t="s">
        <v>8</v>
      </c>
      <c r="B122" s="3" t="str">
        <f>IFERROR(__xludf.DUMMYFUNCTION("IFERROR(INDEX(SPLIT(D122, ""_""), 3),"""")"),"SCIWeap")</f>
        <v>SCIWeap</v>
      </c>
      <c r="C122" s="4" t="str">
        <f>IFERROR(__xludf.DUMMYFUNCTION("IFERROR(REGEXEXTRACT(D122, ""TII.*""), """")"),"TII_SCIWeap_SCIFIArrowShot_Normal_Step3_DESIGNED_01.wav")</f>
        <v>TII_SCIWeap_SCIFIArrowShot_Normal_Step3_DESIGNED_01.wav</v>
      </c>
      <c r="D122" s="5" t="s">
        <v>146</v>
      </c>
      <c r="E122" s="5" t="s">
        <v>147</v>
      </c>
      <c r="F122" s="4" t="str">
        <f>IFERROR(__xludf.DUMMYFUNCTION("IFERROR(INDEX(SPLIT(D122, ""_""), 5),"""")"),"Normal")</f>
        <v>Normal</v>
      </c>
      <c r="G122" s="4" t="str">
        <f>IFERROR(__xludf.DUMMYFUNCTION("IFERROR(INDEX(SPLIT(D122, ""_""), 6),"""")"),"Step3")</f>
        <v>Step3</v>
      </c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" t="s">
        <v>8</v>
      </c>
      <c r="B123" s="3" t="str">
        <f>IFERROR(__xludf.DUMMYFUNCTION("IFERROR(INDEX(SPLIT(D123, ""_""), 3),"""")"),"SCIWeap")</f>
        <v>SCIWeap</v>
      </c>
      <c r="C123" s="4" t="str">
        <f>IFERROR(__xludf.DUMMYFUNCTION("IFERROR(REGEXEXTRACT(D123, ""TII.*""), """")"),"TII_SCIWeap_SCIFIArrowShot_Normal_Step3_DESIGNED_02.wav")</f>
        <v>TII_SCIWeap_SCIFIArrowShot_Normal_Step3_DESIGNED_02.wav</v>
      </c>
      <c r="D123" s="5" t="s">
        <v>148</v>
      </c>
      <c r="E123" s="5" t="s">
        <v>147</v>
      </c>
      <c r="F123" s="4" t="str">
        <f>IFERROR(__xludf.DUMMYFUNCTION("IFERROR(INDEX(SPLIT(D123, ""_""), 5),"""")"),"Normal")</f>
        <v>Normal</v>
      </c>
      <c r="G123" s="4" t="str">
        <f>IFERROR(__xludf.DUMMYFUNCTION("IFERROR(INDEX(SPLIT(D123, ""_""), 6),"""")"),"Step3")</f>
        <v>Step3</v>
      </c>
      <c r="H123" s="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" t="s">
        <v>8</v>
      </c>
      <c r="B124" s="3" t="str">
        <f>IFERROR(__xludf.DUMMYFUNCTION("IFERROR(INDEX(SPLIT(D124, ""_""), 3),"""")"),"SCIWeap")</f>
        <v>SCIWeap</v>
      </c>
      <c r="C124" s="4" t="str">
        <f>IFERROR(__xludf.DUMMYFUNCTION("IFERROR(REGEXEXTRACT(D124, ""TII.*""), """")"),"TII_SCIWeap_SCIFIArrowShot_Normal_Step3_DESIGNED_03.wav")</f>
        <v>TII_SCIWeap_SCIFIArrowShot_Normal_Step3_DESIGNED_03.wav</v>
      </c>
      <c r="D124" s="5" t="s">
        <v>149</v>
      </c>
      <c r="E124" s="5" t="s">
        <v>147</v>
      </c>
      <c r="F124" s="4" t="str">
        <f>IFERROR(__xludf.DUMMYFUNCTION("IFERROR(INDEX(SPLIT(D124, ""_""), 5),"""")"),"Normal")</f>
        <v>Normal</v>
      </c>
      <c r="G124" s="4" t="str">
        <f>IFERROR(__xludf.DUMMYFUNCTION("IFERROR(INDEX(SPLIT(D124, ""_""), 6),"""")"),"Step3")</f>
        <v>Step3</v>
      </c>
      <c r="H124" s="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" t="s">
        <v>8</v>
      </c>
      <c r="B125" s="3" t="str">
        <f>IFERROR(__xludf.DUMMYFUNCTION("IFERROR(INDEX(SPLIT(D125, ""_""), 3),"""")"),"SCIWeap")</f>
        <v>SCIWeap</v>
      </c>
      <c r="C125" s="4" t="str">
        <f>IFERROR(__xludf.DUMMYFUNCTION("IFERROR(REGEXEXTRACT(D125, ""TII.*""), """")"),"TII_SCIWeap_SCIFIArrowShot_Normal_Step3_DESIGNED_04.wav")</f>
        <v>TII_SCIWeap_SCIFIArrowShot_Normal_Step3_DESIGNED_04.wav</v>
      </c>
      <c r="D125" s="5" t="s">
        <v>150</v>
      </c>
      <c r="E125" s="5" t="s">
        <v>147</v>
      </c>
      <c r="F125" s="4" t="str">
        <f>IFERROR(__xludf.DUMMYFUNCTION("IFERROR(INDEX(SPLIT(D125, ""_""), 5),"""")"),"Normal")</f>
        <v>Normal</v>
      </c>
      <c r="G125" s="4" t="str">
        <f>IFERROR(__xludf.DUMMYFUNCTION("IFERROR(INDEX(SPLIT(D125, ""_""), 6),"""")"),"Step3")</f>
        <v>Step3</v>
      </c>
      <c r="H125" s="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" t="s">
        <v>8</v>
      </c>
      <c r="B126" s="3" t="str">
        <f>IFERROR(__xludf.DUMMYFUNCTION("IFERROR(INDEX(SPLIT(D126, ""_""), 3),"""")"),"SCIWeap")</f>
        <v>SCIWeap</v>
      </c>
      <c r="C126" s="4" t="str">
        <f>IFERROR(__xludf.DUMMYFUNCTION("IFERROR(REGEXEXTRACT(D126, ""TII.*""), """")"),"TII_SCIWeap_SCIFIArrowShot_Normal_Step3_DESIGNED_05.wav")</f>
        <v>TII_SCIWeap_SCIFIArrowShot_Normal_Step3_DESIGNED_05.wav</v>
      </c>
      <c r="D126" s="5" t="s">
        <v>151</v>
      </c>
      <c r="E126" s="5" t="s">
        <v>147</v>
      </c>
      <c r="F126" s="4" t="str">
        <f>IFERROR(__xludf.DUMMYFUNCTION("IFERROR(INDEX(SPLIT(D126, ""_""), 5),"""")"),"Normal")</f>
        <v>Normal</v>
      </c>
      <c r="G126" s="4" t="str">
        <f>IFERROR(__xludf.DUMMYFUNCTION("IFERROR(INDEX(SPLIT(D126, ""_""), 6),"""")"),"Step3")</f>
        <v>Step3</v>
      </c>
      <c r="H126" s="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" t="s">
        <v>8</v>
      </c>
      <c r="B127" s="3" t="str">
        <f>IFERROR(__xludf.DUMMYFUNCTION("IFERROR(INDEX(SPLIT(D127, ""_""), 3),"""")"),"SCIWeap")</f>
        <v>SCIWeap</v>
      </c>
      <c r="C127" s="4" t="str">
        <f>IFERROR(__xludf.DUMMYFUNCTION("IFERROR(REGEXEXTRACT(D127, ""TII.*""), """")"),"TII_SCIWeap_SCIFIArrowShot_Normal_Step3_DESIGNED_06.wav")</f>
        <v>TII_SCIWeap_SCIFIArrowShot_Normal_Step3_DESIGNED_06.wav</v>
      </c>
      <c r="D127" s="5" t="s">
        <v>152</v>
      </c>
      <c r="E127" s="5" t="s">
        <v>147</v>
      </c>
      <c r="F127" s="4" t="str">
        <f>IFERROR(__xludf.DUMMYFUNCTION("IFERROR(INDEX(SPLIT(D127, ""_""), 5),"""")"),"Normal")</f>
        <v>Normal</v>
      </c>
      <c r="G127" s="4" t="str">
        <f>IFERROR(__xludf.DUMMYFUNCTION("IFERROR(INDEX(SPLIT(D127, ""_""), 6),"""")"),"Step3")</f>
        <v>Step3</v>
      </c>
      <c r="H127" s="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" t="s">
        <v>8</v>
      </c>
      <c r="B128" s="3" t="str">
        <f>IFERROR(__xludf.DUMMYFUNCTION("IFERROR(INDEX(SPLIT(D128, ""_""), 3),"""")"),"SCIWeap")</f>
        <v>SCIWeap</v>
      </c>
      <c r="C128" s="4" t="str">
        <f>IFERROR(__xludf.DUMMYFUNCTION("IFERROR(REGEXEXTRACT(D128, ""TII.*""), """")"),"TII_SCIWeap_SCIFIArrowShot_Normal_Step3_DESIGNED_07.wav")</f>
        <v>TII_SCIWeap_SCIFIArrowShot_Normal_Step3_DESIGNED_07.wav</v>
      </c>
      <c r="D128" s="5" t="s">
        <v>153</v>
      </c>
      <c r="E128" s="5" t="s">
        <v>147</v>
      </c>
      <c r="F128" s="4" t="str">
        <f>IFERROR(__xludf.DUMMYFUNCTION("IFERROR(INDEX(SPLIT(D128, ""_""), 5),"""")"),"Normal")</f>
        <v>Normal</v>
      </c>
      <c r="G128" s="4" t="str">
        <f>IFERROR(__xludf.DUMMYFUNCTION("IFERROR(INDEX(SPLIT(D128, ""_""), 6),"""")"),"Step3")</f>
        <v>Step3</v>
      </c>
      <c r="H128" s="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" t="s">
        <v>8</v>
      </c>
      <c r="B129" s="3" t="str">
        <f>IFERROR(__xludf.DUMMYFUNCTION("IFERROR(INDEX(SPLIT(D129, ""_""), 3),"""")"),"SCIWeap")</f>
        <v>SCIWeap</v>
      </c>
      <c r="C129" s="4" t="str">
        <f>IFERROR(__xludf.DUMMYFUNCTION("IFERROR(REGEXEXTRACT(D129, ""TII.*""), """")"),"TII_SCIWeap_SCIFIArrowShot_Normal_Step3_DESIGNED_08.wav")</f>
        <v>TII_SCIWeap_SCIFIArrowShot_Normal_Step3_DESIGNED_08.wav</v>
      </c>
      <c r="D129" s="5" t="s">
        <v>154</v>
      </c>
      <c r="E129" s="5" t="s">
        <v>147</v>
      </c>
      <c r="F129" s="4" t="str">
        <f>IFERROR(__xludf.DUMMYFUNCTION("IFERROR(INDEX(SPLIT(D129, ""_""), 5),"""")"),"Normal")</f>
        <v>Normal</v>
      </c>
      <c r="G129" s="4" t="str">
        <f>IFERROR(__xludf.DUMMYFUNCTION("IFERROR(INDEX(SPLIT(D129, ""_""), 6),"""")"),"Step3")</f>
        <v>Step3</v>
      </c>
      <c r="H129" s="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8</v>
      </c>
      <c r="B130" s="3" t="str">
        <f>IFERROR(__xludf.DUMMYFUNCTION("IFERROR(INDEX(SPLIT(D130, ""_""), 3),"""")"),"SCIWeap")</f>
        <v>SCIWeap</v>
      </c>
      <c r="C130" s="4" t="str">
        <f>IFERROR(__xludf.DUMMYFUNCTION("IFERROR(REGEXEXTRACT(D130, ""TII.*""), """")"),"TII_SCIWeap_SCIFIArrowShot_Normal_Step3_DESIGNED_09.wav")</f>
        <v>TII_SCIWeap_SCIFIArrowShot_Normal_Step3_DESIGNED_09.wav</v>
      </c>
      <c r="D130" s="5" t="s">
        <v>155</v>
      </c>
      <c r="E130" s="5" t="s">
        <v>147</v>
      </c>
      <c r="F130" s="4" t="str">
        <f>IFERROR(__xludf.DUMMYFUNCTION("IFERROR(INDEX(SPLIT(D130, ""_""), 5),"""")"),"Normal")</f>
        <v>Normal</v>
      </c>
      <c r="G130" s="4" t="str">
        <f>IFERROR(__xludf.DUMMYFUNCTION("IFERROR(INDEX(SPLIT(D130, ""_""), 6),"""")"),"Step3")</f>
        <v>Step3</v>
      </c>
      <c r="H130" s="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" t="s">
        <v>8</v>
      </c>
      <c r="B131" s="3" t="str">
        <f>IFERROR(__xludf.DUMMYFUNCTION("IFERROR(INDEX(SPLIT(D131, ""_""), 3),"""")"),"SCIWeap")</f>
        <v>SCIWeap</v>
      </c>
      <c r="C131" s="4" t="str">
        <f>IFERROR(__xludf.DUMMYFUNCTION("IFERROR(REGEXEXTRACT(D131, ""TII.*""), """")"),"TII_SCIWeap_SCIFIArrowShot_Normal_Step3_DESIGNED_10.wav")</f>
        <v>TII_SCIWeap_SCIFIArrowShot_Normal_Step3_DESIGNED_10.wav</v>
      </c>
      <c r="D131" s="5" t="s">
        <v>156</v>
      </c>
      <c r="E131" s="5" t="s">
        <v>147</v>
      </c>
      <c r="F131" s="4" t="str">
        <f>IFERROR(__xludf.DUMMYFUNCTION("IFERROR(INDEX(SPLIT(D131, ""_""), 5),"""")"),"Normal")</f>
        <v>Normal</v>
      </c>
      <c r="G131" s="4" t="str">
        <f>IFERROR(__xludf.DUMMYFUNCTION("IFERROR(INDEX(SPLIT(D131, ""_""), 6),"""")"),"Step3")</f>
        <v>Step3</v>
      </c>
      <c r="H131" s="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" t="s">
        <v>8</v>
      </c>
      <c r="B132" s="3" t="str">
        <f>IFERROR(__xludf.DUMMYFUNCTION("IFERROR(INDEX(SPLIT(D132, ""_""), 3),"""")"),"SCIWeap")</f>
        <v>SCIWeap</v>
      </c>
      <c r="C132" s="4" t="str">
        <f>IFERROR(__xludf.DUMMYFUNCTION("IFERROR(REGEXEXTRACT(D132, ""TII.*""), """")"),"TII_SCIWeap_SCIFIArrowShot_Normal_Step3_DESIGNED_Package.wav")</f>
        <v>TII_SCIWeap_SCIFIArrowShot_Normal_Step3_DESIGNED_Package.wav</v>
      </c>
      <c r="D132" s="5" t="s">
        <v>157</v>
      </c>
      <c r="E132" s="5" t="s">
        <v>147</v>
      </c>
      <c r="F132" s="4" t="str">
        <f>IFERROR(__xludf.DUMMYFUNCTION("IFERROR(INDEX(SPLIT(D132, ""_""), 5),"""")"),"Normal")</f>
        <v>Normal</v>
      </c>
      <c r="G132" s="4" t="str">
        <f>IFERROR(__xludf.DUMMYFUNCTION("IFERROR(INDEX(SPLIT(D132, ""_""), 6),"""")"),"Step3")</f>
        <v>Step3</v>
      </c>
      <c r="H132" s="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" t="s">
        <v>8</v>
      </c>
      <c r="B133" s="3" t="str">
        <f>IFERROR(__xludf.DUMMYFUNCTION("IFERROR(INDEX(SPLIT(D133, ""_""), 3),"""")"),"SCIWeap")</f>
        <v>SCIWeap</v>
      </c>
      <c r="C133" s="4" t="str">
        <f>IFERROR(__xludf.DUMMYFUNCTION("IFERROR(REGEXEXTRACT(D133, ""TII.*""), """")"),"TII_SCIWeap_LaserHit_Simple_Step3_DESIGNED_01.wav")</f>
        <v>TII_SCIWeap_LaserHit_Simple_Step3_DESIGNED_01.wav</v>
      </c>
      <c r="D133" s="5" t="s">
        <v>158</v>
      </c>
      <c r="E133" s="5" t="s">
        <v>159</v>
      </c>
      <c r="F133" s="4" t="str">
        <f>IFERROR(__xludf.DUMMYFUNCTION("IFERROR(INDEX(SPLIT(D133, ""_""), 5),"""")"),"Simple")</f>
        <v>Simple</v>
      </c>
      <c r="G133" s="4" t="str">
        <f>IFERROR(__xludf.DUMMYFUNCTION("IFERROR(INDEX(SPLIT(D133, ""_""), 6),"""")"),"Step3")</f>
        <v>Step3</v>
      </c>
      <c r="H133" s="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" t="s">
        <v>8</v>
      </c>
      <c r="B134" s="3" t="str">
        <f>IFERROR(__xludf.DUMMYFUNCTION("IFERROR(INDEX(SPLIT(D134, ""_""), 3),"""")"),"SCIWeap")</f>
        <v>SCIWeap</v>
      </c>
      <c r="C134" s="4" t="str">
        <f>IFERROR(__xludf.DUMMYFUNCTION("IFERROR(REGEXEXTRACT(D134, ""TII.*""), """")"),"TII_SCIWeap_LaserHit_Simple_Step3_DESIGNED_02.wav")</f>
        <v>TII_SCIWeap_LaserHit_Simple_Step3_DESIGNED_02.wav</v>
      </c>
      <c r="D134" s="5" t="s">
        <v>160</v>
      </c>
      <c r="E134" s="5" t="s">
        <v>159</v>
      </c>
      <c r="F134" s="4" t="str">
        <f>IFERROR(__xludf.DUMMYFUNCTION("IFERROR(INDEX(SPLIT(D134, ""_""), 5),"""")"),"Simple")</f>
        <v>Simple</v>
      </c>
      <c r="G134" s="4" t="str">
        <f>IFERROR(__xludf.DUMMYFUNCTION("IFERROR(INDEX(SPLIT(D134, ""_""), 6),"""")"),"Step3")</f>
        <v>Step3</v>
      </c>
      <c r="H134" s="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" t="s">
        <v>8</v>
      </c>
      <c r="B135" s="3" t="str">
        <f>IFERROR(__xludf.DUMMYFUNCTION("IFERROR(INDEX(SPLIT(D135, ""_""), 3),"""")"),"SCIWeap")</f>
        <v>SCIWeap</v>
      </c>
      <c r="C135" s="4" t="str">
        <f>IFERROR(__xludf.DUMMYFUNCTION("IFERROR(REGEXEXTRACT(D135, ""TII.*""), """")"),"TII_SCIWeap_LaserHit_Simple_Step3_DESIGNED_03.wav")</f>
        <v>TII_SCIWeap_LaserHit_Simple_Step3_DESIGNED_03.wav</v>
      </c>
      <c r="D135" s="5" t="s">
        <v>161</v>
      </c>
      <c r="E135" s="5" t="s">
        <v>159</v>
      </c>
      <c r="F135" s="4" t="str">
        <f>IFERROR(__xludf.DUMMYFUNCTION("IFERROR(INDEX(SPLIT(D135, ""_""), 5),"""")"),"Simple")</f>
        <v>Simple</v>
      </c>
      <c r="G135" s="4" t="str">
        <f>IFERROR(__xludf.DUMMYFUNCTION("IFERROR(INDEX(SPLIT(D135, ""_""), 6),"""")"),"Step3")</f>
        <v>Step3</v>
      </c>
      <c r="H135" s="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" t="s">
        <v>8</v>
      </c>
      <c r="B136" s="3" t="str">
        <f>IFERROR(__xludf.DUMMYFUNCTION("IFERROR(INDEX(SPLIT(D136, ""_""), 3),"""")"),"SCIWeap")</f>
        <v>SCIWeap</v>
      </c>
      <c r="C136" s="4" t="str">
        <f>IFERROR(__xludf.DUMMYFUNCTION("IFERROR(REGEXEXTRACT(D136, ""TII.*""), """")"),"TII_SCIWeap_LaserHit_Simple_Step3_DESIGNED_04.wav")</f>
        <v>TII_SCIWeap_LaserHit_Simple_Step3_DESIGNED_04.wav</v>
      </c>
      <c r="D136" s="5" t="s">
        <v>162</v>
      </c>
      <c r="E136" s="5" t="s">
        <v>159</v>
      </c>
      <c r="F136" s="4" t="str">
        <f>IFERROR(__xludf.DUMMYFUNCTION("IFERROR(INDEX(SPLIT(D136, ""_""), 5),"""")"),"Simple")</f>
        <v>Simple</v>
      </c>
      <c r="G136" s="4" t="str">
        <f>IFERROR(__xludf.DUMMYFUNCTION("IFERROR(INDEX(SPLIT(D136, ""_""), 6),"""")"),"Step3")</f>
        <v>Step3</v>
      </c>
      <c r="H136" s="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" t="s">
        <v>8</v>
      </c>
      <c r="B137" s="3" t="str">
        <f>IFERROR(__xludf.DUMMYFUNCTION("IFERROR(INDEX(SPLIT(D137, ""_""), 3),"""")"),"SCIWeap")</f>
        <v>SCIWeap</v>
      </c>
      <c r="C137" s="4" t="str">
        <f>IFERROR(__xludf.DUMMYFUNCTION("IFERROR(REGEXEXTRACT(D137, ""TII.*""), """")"),"TII_SCIWeap_LaserHit_Simple_Step3_DESIGNED_05.wav")</f>
        <v>TII_SCIWeap_LaserHit_Simple_Step3_DESIGNED_05.wav</v>
      </c>
      <c r="D137" s="5" t="s">
        <v>163</v>
      </c>
      <c r="E137" s="5" t="s">
        <v>159</v>
      </c>
      <c r="F137" s="4" t="str">
        <f>IFERROR(__xludf.DUMMYFUNCTION("IFERROR(INDEX(SPLIT(D137, ""_""), 5),"""")"),"Simple")</f>
        <v>Simple</v>
      </c>
      <c r="G137" s="4" t="str">
        <f>IFERROR(__xludf.DUMMYFUNCTION("IFERROR(INDEX(SPLIT(D137, ""_""), 6),"""")"),"Step3")</f>
        <v>Step3</v>
      </c>
      <c r="H137" s="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" t="s">
        <v>8</v>
      </c>
      <c r="B138" s="3" t="str">
        <f>IFERROR(__xludf.DUMMYFUNCTION("IFERROR(INDEX(SPLIT(D138, ""_""), 3),"""")"),"SCIWeap")</f>
        <v>SCIWeap</v>
      </c>
      <c r="C138" s="4" t="str">
        <f>IFERROR(__xludf.DUMMYFUNCTION("IFERROR(REGEXEXTRACT(D138, ""TII.*""), """")"),"TII_SCIWeap_LaserHit_Simple_Step3_DESIGNED_06.wav")</f>
        <v>TII_SCIWeap_LaserHit_Simple_Step3_DESIGNED_06.wav</v>
      </c>
      <c r="D138" s="5" t="s">
        <v>164</v>
      </c>
      <c r="E138" s="5" t="s">
        <v>159</v>
      </c>
      <c r="F138" s="4" t="str">
        <f>IFERROR(__xludf.DUMMYFUNCTION("IFERROR(INDEX(SPLIT(D138, ""_""), 5),"""")"),"Simple")</f>
        <v>Simple</v>
      </c>
      <c r="G138" s="4" t="str">
        <f>IFERROR(__xludf.DUMMYFUNCTION("IFERROR(INDEX(SPLIT(D138, ""_""), 6),"""")"),"Step3")</f>
        <v>Step3</v>
      </c>
      <c r="H138" s="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" t="s">
        <v>8</v>
      </c>
      <c r="B139" s="3" t="str">
        <f>IFERROR(__xludf.DUMMYFUNCTION("IFERROR(INDEX(SPLIT(D139, ""_""), 3),"""")"),"SCIWeap")</f>
        <v>SCIWeap</v>
      </c>
      <c r="C139" s="4" t="str">
        <f>IFERROR(__xludf.DUMMYFUNCTION("IFERROR(REGEXEXTRACT(D139, ""TII.*""), """")"),"TII_SCIWeap_LaserHit_Simple_Step3_DESIGNED_07.wav")</f>
        <v>TII_SCIWeap_LaserHit_Simple_Step3_DESIGNED_07.wav</v>
      </c>
      <c r="D139" s="5" t="s">
        <v>165</v>
      </c>
      <c r="E139" s="5" t="s">
        <v>159</v>
      </c>
      <c r="F139" s="4" t="str">
        <f>IFERROR(__xludf.DUMMYFUNCTION("IFERROR(INDEX(SPLIT(D139, ""_""), 5),"""")"),"Simple")</f>
        <v>Simple</v>
      </c>
      <c r="G139" s="4" t="str">
        <f>IFERROR(__xludf.DUMMYFUNCTION("IFERROR(INDEX(SPLIT(D139, ""_""), 6),"""")"),"Step3")</f>
        <v>Step3</v>
      </c>
      <c r="H139" s="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" t="s">
        <v>8</v>
      </c>
      <c r="B140" s="3" t="str">
        <f>IFERROR(__xludf.DUMMYFUNCTION("IFERROR(INDEX(SPLIT(D140, ""_""), 3),"""")"),"SCIWeap")</f>
        <v>SCIWeap</v>
      </c>
      <c r="C140" s="4" t="str">
        <f>IFERROR(__xludf.DUMMYFUNCTION("IFERROR(REGEXEXTRACT(D140, ""TII.*""), """")"),"TII_SCIWeap_LaserHit_Simple_Step3_DESIGNED_08.wav")</f>
        <v>TII_SCIWeap_LaserHit_Simple_Step3_DESIGNED_08.wav</v>
      </c>
      <c r="D140" s="5" t="s">
        <v>166</v>
      </c>
      <c r="E140" s="5" t="s">
        <v>159</v>
      </c>
      <c r="F140" s="4" t="str">
        <f>IFERROR(__xludf.DUMMYFUNCTION("IFERROR(INDEX(SPLIT(D140, ""_""), 5),"""")"),"Simple")</f>
        <v>Simple</v>
      </c>
      <c r="G140" s="4" t="str">
        <f>IFERROR(__xludf.DUMMYFUNCTION("IFERROR(INDEX(SPLIT(D140, ""_""), 6),"""")"),"Step3")</f>
        <v>Step3</v>
      </c>
      <c r="H140" s="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" t="s">
        <v>8</v>
      </c>
      <c r="B141" s="3" t="str">
        <f>IFERROR(__xludf.DUMMYFUNCTION("IFERROR(INDEX(SPLIT(D141, ""_""), 3),"""")"),"SCIWeap")</f>
        <v>SCIWeap</v>
      </c>
      <c r="C141" s="4" t="str">
        <f>IFERROR(__xludf.DUMMYFUNCTION("IFERROR(REGEXEXTRACT(D141, ""TII.*""), """")"),"TII_SCIWeap_LaserHit_Simple_Step3_DESIGNED_09.wav")</f>
        <v>TII_SCIWeap_LaserHit_Simple_Step3_DESIGNED_09.wav</v>
      </c>
      <c r="D141" s="5" t="s">
        <v>167</v>
      </c>
      <c r="E141" s="5" t="s">
        <v>159</v>
      </c>
      <c r="F141" s="4" t="str">
        <f>IFERROR(__xludf.DUMMYFUNCTION("IFERROR(INDEX(SPLIT(D141, ""_""), 5),"""")"),"Simple")</f>
        <v>Simple</v>
      </c>
      <c r="G141" s="4" t="str">
        <f>IFERROR(__xludf.DUMMYFUNCTION("IFERROR(INDEX(SPLIT(D141, ""_""), 6),"""")"),"Step3")</f>
        <v>Step3</v>
      </c>
      <c r="H141" s="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" t="s">
        <v>8</v>
      </c>
      <c r="B142" s="3" t="str">
        <f>IFERROR(__xludf.DUMMYFUNCTION("IFERROR(INDEX(SPLIT(D142, ""_""), 3),"""")"),"SCIWeap")</f>
        <v>SCIWeap</v>
      </c>
      <c r="C142" s="4" t="str">
        <f>IFERROR(__xludf.DUMMYFUNCTION("IFERROR(REGEXEXTRACT(D142, ""TII.*""), """")"),"TII_SCIWeap_LaserHit_Simple_Step3_DESIGNED_10.wav")</f>
        <v>TII_SCIWeap_LaserHit_Simple_Step3_DESIGNED_10.wav</v>
      </c>
      <c r="D142" s="5" t="s">
        <v>168</v>
      </c>
      <c r="E142" s="5" t="s">
        <v>159</v>
      </c>
      <c r="F142" s="4" t="str">
        <f>IFERROR(__xludf.DUMMYFUNCTION("IFERROR(INDEX(SPLIT(D142, ""_""), 5),"""")"),"Simple")</f>
        <v>Simple</v>
      </c>
      <c r="G142" s="4" t="str">
        <f>IFERROR(__xludf.DUMMYFUNCTION("IFERROR(INDEX(SPLIT(D142, ""_""), 6),"""")"),"Step3")</f>
        <v>Step3</v>
      </c>
      <c r="H142" s="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" t="s">
        <v>8</v>
      </c>
      <c r="B143" s="3" t="str">
        <f>IFERROR(__xludf.DUMMYFUNCTION("IFERROR(INDEX(SPLIT(D143, ""_""), 3),"""")"),"SCIWeap")</f>
        <v>SCIWeap</v>
      </c>
      <c r="C143" s="4" t="str">
        <f>IFERROR(__xludf.DUMMYFUNCTION("IFERROR(REGEXEXTRACT(D143, ""TII.*""), """")"),"TII_SCIWeap_LaserHit_Simple_Step3_DESIGNED_11.wav")</f>
        <v>TII_SCIWeap_LaserHit_Simple_Step3_DESIGNED_11.wav</v>
      </c>
      <c r="D143" s="5" t="s">
        <v>169</v>
      </c>
      <c r="E143" s="5" t="s">
        <v>159</v>
      </c>
      <c r="F143" s="4" t="str">
        <f>IFERROR(__xludf.DUMMYFUNCTION("IFERROR(INDEX(SPLIT(D143, ""_""), 5),"""")"),"Simple")</f>
        <v>Simple</v>
      </c>
      <c r="G143" s="4" t="str">
        <f>IFERROR(__xludf.DUMMYFUNCTION("IFERROR(INDEX(SPLIT(D143, ""_""), 6),"""")"),"Step3")</f>
        <v>Step3</v>
      </c>
      <c r="H143" s="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" t="s">
        <v>8</v>
      </c>
      <c r="B144" s="3" t="str">
        <f>IFERROR(__xludf.DUMMYFUNCTION("IFERROR(INDEX(SPLIT(D144, ""_""), 3),"""")"),"SCIWeap")</f>
        <v>SCIWeap</v>
      </c>
      <c r="C144" s="4" t="str">
        <f>IFERROR(__xludf.DUMMYFUNCTION("IFERROR(REGEXEXTRACT(D144, ""TII.*""), """")"),"TII_SCIWeap_LaserHit_Simple_Step3_DESIGNED_Package.wav")</f>
        <v>TII_SCIWeap_LaserHit_Simple_Step3_DESIGNED_Package.wav</v>
      </c>
      <c r="D144" s="5" t="s">
        <v>170</v>
      </c>
      <c r="E144" s="5" t="s">
        <v>159</v>
      </c>
      <c r="F144" s="4" t="str">
        <f>IFERROR(__xludf.DUMMYFUNCTION("IFERROR(INDEX(SPLIT(D144, ""_""), 5),"""")"),"Simple")</f>
        <v>Simple</v>
      </c>
      <c r="G144" s="4" t="str">
        <f>IFERROR(__xludf.DUMMYFUNCTION("IFERROR(INDEX(SPLIT(D144, ""_""), 6),"""")"),"Step3")</f>
        <v>Step3</v>
      </c>
      <c r="H144" s="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" t="s">
        <v>8</v>
      </c>
      <c r="B145" s="3" t="str">
        <f>IFERROR(__xludf.DUMMYFUNCTION("IFERROR(INDEX(SPLIT(D145, ""_""), 3),"""")"),"SCIWeap")</f>
        <v>SCIWeap</v>
      </c>
      <c r="C145" s="4" t="str">
        <f>IFERROR(__xludf.DUMMYFUNCTION("IFERROR(REGEXEXTRACT(D145, ""TII.*""), """")"),"TII_SCIWeap_PistoHit_Simple_Step3_DESIGNED_01.wav")</f>
        <v>TII_SCIWeap_PistoHit_Simple_Step3_DESIGNED_01.wav</v>
      </c>
      <c r="D145" s="5" t="s">
        <v>171</v>
      </c>
      <c r="E145" s="5" t="s">
        <v>172</v>
      </c>
      <c r="F145" s="4" t="str">
        <f>IFERROR(__xludf.DUMMYFUNCTION("IFERROR(INDEX(SPLIT(D145, ""_""), 5),"""")"),"Simple")</f>
        <v>Simple</v>
      </c>
      <c r="G145" s="4" t="str">
        <f>IFERROR(__xludf.DUMMYFUNCTION("IFERROR(INDEX(SPLIT(D145, ""_""), 6),"""")"),"Step3")</f>
        <v>Step3</v>
      </c>
      <c r="H145" s="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" t="s">
        <v>8</v>
      </c>
      <c r="B146" s="3" t="str">
        <f>IFERROR(__xludf.DUMMYFUNCTION("IFERROR(INDEX(SPLIT(D146, ""_""), 3),"""")"),"SCIWeap")</f>
        <v>SCIWeap</v>
      </c>
      <c r="C146" s="4" t="str">
        <f>IFERROR(__xludf.DUMMYFUNCTION("IFERROR(REGEXEXTRACT(D146, ""TII.*""), """")"),"TII_SCIWeap_PistoHit_Simple_Step3_DESIGNED_02.wav")</f>
        <v>TII_SCIWeap_PistoHit_Simple_Step3_DESIGNED_02.wav</v>
      </c>
      <c r="D146" s="5" t="s">
        <v>173</v>
      </c>
      <c r="E146" s="5" t="s">
        <v>172</v>
      </c>
      <c r="F146" s="4" t="str">
        <f>IFERROR(__xludf.DUMMYFUNCTION("IFERROR(INDEX(SPLIT(D146, ""_""), 5),"""")"),"Simple")</f>
        <v>Simple</v>
      </c>
      <c r="G146" s="4" t="str">
        <f>IFERROR(__xludf.DUMMYFUNCTION("IFERROR(INDEX(SPLIT(D146, ""_""), 6),"""")"),"Step3")</f>
        <v>Step3</v>
      </c>
      <c r="H146" s="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" t="s">
        <v>8</v>
      </c>
      <c r="B147" s="3" t="str">
        <f>IFERROR(__xludf.DUMMYFUNCTION("IFERROR(INDEX(SPLIT(D147, ""_""), 3),"""")"),"SCIWeap")</f>
        <v>SCIWeap</v>
      </c>
      <c r="C147" s="4" t="str">
        <f>IFERROR(__xludf.DUMMYFUNCTION("IFERROR(REGEXEXTRACT(D147, ""TII.*""), """")"),"TII_SCIWeap_PistoHit_Simple_Step3_DESIGNED_03.wav")</f>
        <v>TII_SCIWeap_PistoHit_Simple_Step3_DESIGNED_03.wav</v>
      </c>
      <c r="D147" s="5" t="s">
        <v>174</v>
      </c>
      <c r="E147" s="5" t="s">
        <v>172</v>
      </c>
      <c r="F147" s="4" t="str">
        <f>IFERROR(__xludf.DUMMYFUNCTION("IFERROR(INDEX(SPLIT(D147, ""_""), 5),"""")"),"Simple")</f>
        <v>Simple</v>
      </c>
      <c r="G147" s="4" t="str">
        <f>IFERROR(__xludf.DUMMYFUNCTION("IFERROR(INDEX(SPLIT(D147, ""_""), 6),"""")"),"Step3")</f>
        <v>Step3</v>
      </c>
      <c r="H147" s="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" t="s">
        <v>8</v>
      </c>
      <c r="B148" s="3" t="str">
        <f>IFERROR(__xludf.DUMMYFUNCTION("IFERROR(INDEX(SPLIT(D148, ""_""), 3),"""")"),"SCIWeap")</f>
        <v>SCIWeap</v>
      </c>
      <c r="C148" s="4" t="str">
        <f>IFERROR(__xludf.DUMMYFUNCTION("IFERROR(REGEXEXTRACT(D148, ""TII.*""), """")"),"TII_SCIWeap_PistoHit_Simple_Step3_DESIGNED_04.wav")</f>
        <v>TII_SCIWeap_PistoHit_Simple_Step3_DESIGNED_04.wav</v>
      </c>
      <c r="D148" s="5" t="s">
        <v>175</v>
      </c>
      <c r="E148" s="5" t="s">
        <v>172</v>
      </c>
      <c r="F148" s="4" t="str">
        <f>IFERROR(__xludf.DUMMYFUNCTION("IFERROR(INDEX(SPLIT(D148, ""_""), 5),"""")"),"Simple")</f>
        <v>Simple</v>
      </c>
      <c r="G148" s="4" t="str">
        <f>IFERROR(__xludf.DUMMYFUNCTION("IFERROR(INDEX(SPLIT(D148, ""_""), 6),"""")"),"Step3")</f>
        <v>Step3</v>
      </c>
      <c r="H148" s="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" t="s">
        <v>8</v>
      </c>
      <c r="B149" s="3" t="str">
        <f>IFERROR(__xludf.DUMMYFUNCTION("IFERROR(INDEX(SPLIT(D149, ""_""), 3),"""")"),"SCIWeap")</f>
        <v>SCIWeap</v>
      </c>
      <c r="C149" s="4" t="str">
        <f>IFERROR(__xludf.DUMMYFUNCTION("IFERROR(REGEXEXTRACT(D149, ""TII.*""), """")"),"TII_SCIWeap_PistoHit_Simple_Step3_DESIGNED_05.wav")</f>
        <v>TII_SCIWeap_PistoHit_Simple_Step3_DESIGNED_05.wav</v>
      </c>
      <c r="D149" s="5" t="s">
        <v>176</v>
      </c>
      <c r="E149" s="5" t="s">
        <v>172</v>
      </c>
      <c r="F149" s="4" t="str">
        <f>IFERROR(__xludf.DUMMYFUNCTION("IFERROR(INDEX(SPLIT(D149, ""_""), 5),"""")"),"Simple")</f>
        <v>Simple</v>
      </c>
      <c r="G149" s="4" t="str">
        <f>IFERROR(__xludf.DUMMYFUNCTION("IFERROR(INDEX(SPLIT(D149, ""_""), 6),"""")"),"Step3")</f>
        <v>Step3</v>
      </c>
      <c r="H149" s="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" t="s">
        <v>8</v>
      </c>
      <c r="B150" s="3" t="str">
        <f>IFERROR(__xludf.DUMMYFUNCTION("IFERROR(INDEX(SPLIT(D150, ""_""), 3),"""")"),"SCIWeap")</f>
        <v>SCIWeap</v>
      </c>
      <c r="C150" s="4" t="str">
        <f>IFERROR(__xludf.DUMMYFUNCTION("IFERROR(REGEXEXTRACT(D150, ""TII.*""), """")"),"TII_SCIWeap_PistoHit_Simple_Step3_DESIGNED_06.wav")</f>
        <v>TII_SCIWeap_PistoHit_Simple_Step3_DESIGNED_06.wav</v>
      </c>
      <c r="D150" s="5" t="s">
        <v>177</v>
      </c>
      <c r="E150" s="5" t="s">
        <v>172</v>
      </c>
      <c r="F150" s="4" t="str">
        <f>IFERROR(__xludf.DUMMYFUNCTION("IFERROR(INDEX(SPLIT(D150, ""_""), 5),"""")"),"Simple")</f>
        <v>Simple</v>
      </c>
      <c r="G150" s="4" t="str">
        <f>IFERROR(__xludf.DUMMYFUNCTION("IFERROR(INDEX(SPLIT(D150, ""_""), 6),"""")"),"Step3")</f>
        <v>Step3</v>
      </c>
      <c r="H150" s="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" t="s">
        <v>8</v>
      </c>
      <c r="B151" s="3" t="str">
        <f>IFERROR(__xludf.DUMMYFUNCTION("IFERROR(INDEX(SPLIT(D151, ""_""), 3),"""")"),"SCIWeap")</f>
        <v>SCIWeap</v>
      </c>
      <c r="C151" s="4" t="str">
        <f>IFERROR(__xludf.DUMMYFUNCTION("IFERROR(REGEXEXTRACT(D151, ""TII.*""), """")"),"TII_SCIWeap_PistoHit_Simple_Step3_DESIGNED_07.wav")</f>
        <v>TII_SCIWeap_PistoHit_Simple_Step3_DESIGNED_07.wav</v>
      </c>
      <c r="D151" s="5" t="s">
        <v>178</v>
      </c>
      <c r="E151" s="5" t="s">
        <v>172</v>
      </c>
      <c r="F151" s="4" t="str">
        <f>IFERROR(__xludf.DUMMYFUNCTION("IFERROR(INDEX(SPLIT(D151, ""_""), 5),"""")"),"Simple")</f>
        <v>Simple</v>
      </c>
      <c r="G151" s="4" t="str">
        <f>IFERROR(__xludf.DUMMYFUNCTION("IFERROR(INDEX(SPLIT(D151, ""_""), 6),"""")"),"Step3")</f>
        <v>Step3</v>
      </c>
      <c r="H151" s="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8</v>
      </c>
      <c r="B152" s="3" t="str">
        <f>IFERROR(__xludf.DUMMYFUNCTION("IFERROR(INDEX(SPLIT(D152, ""_""), 3),"""")"),"SCIWeap")</f>
        <v>SCIWeap</v>
      </c>
      <c r="C152" s="4" t="str">
        <f>IFERROR(__xludf.DUMMYFUNCTION("IFERROR(REGEXEXTRACT(D152, ""TII.*""), """")"),"TII_SCIWeap_PistoHit_Simple_Step3_DESIGNED_08.wav")</f>
        <v>TII_SCIWeap_PistoHit_Simple_Step3_DESIGNED_08.wav</v>
      </c>
      <c r="D152" s="5" t="s">
        <v>179</v>
      </c>
      <c r="E152" s="5" t="s">
        <v>172</v>
      </c>
      <c r="F152" s="4" t="str">
        <f>IFERROR(__xludf.DUMMYFUNCTION("IFERROR(INDEX(SPLIT(D152, ""_""), 5),"""")"),"Simple")</f>
        <v>Simple</v>
      </c>
      <c r="G152" s="4" t="str">
        <f>IFERROR(__xludf.DUMMYFUNCTION("IFERROR(INDEX(SPLIT(D152, ""_""), 6),"""")"),"Step3")</f>
        <v>Step3</v>
      </c>
      <c r="H152" s="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" t="s">
        <v>8</v>
      </c>
      <c r="B153" s="3" t="str">
        <f>IFERROR(__xludf.DUMMYFUNCTION("IFERROR(INDEX(SPLIT(D153, ""_""), 3),"""")"),"SCIWeap")</f>
        <v>SCIWeap</v>
      </c>
      <c r="C153" s="4" t="str">
        <f>IFERROR(__xludf.DUMMYFUNCTION("IFERROR(REGEXEXTRACT(D153, ""TII.*""), """")"),"TII_SCIWeap_PistoHit_Simple_Step3_DESIGNED_09.wav")</f>
        <v>TII_SCIWeap_PistoHit_Simple_Step3_DESIGNED_09.wav</v>
      </c>
      <c r="D153" s="5" t="s">
        <v>180</v>
      </c>
      <c r="E153" s="5" t="s">
        <v>172</v>
      </c>
      <c r="F153" s="4" t="str">
        <f>IFERROR(__xludf.DUMMYFUNCTION("IFERROR(INDEX(SPLIT(D153, ""_""), 5),"""")"),"Simple")</f>
        <v>Simple</v>
      </c>
      <c r="G153" s="4" t="str">
        <f>IFERROR(__xludf.DUMMYFUNCTION("IFERROR(INDEX(SPLIT(D153, ""_""), 6),"""")"),"Step3")</f>
        <v>Step3</v>
      </c>
      <c r="H153" s="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" t="s">
        <v>8</v>
      </c>
      <c r="B154" s="3" t="str">
        <f>IFERROR(__xludf.DUMMYFUNCTION("IFERROR(INDEX(SPLIT(D154, ""_""), 3),"""")"),"SCIWeap")</f>
        <v>SCIWeap</v>
      </c>
      <c r="C154" s="4" t="str">
        <f>IFERROR(__xludf.DUMMYFUNCTION("IFERROR(REGEXEXTRACT(D154, ""TII.*""), """")"),"TII_SCIWeap_PistoHit_Simple_Step3_DESIGNED_Package.wav")</f>
        <v>TII_SCIWeap_PistoHit_Simple_Step3_DESIGNED_Package.wav</v>
      </c>
      <c r="D154" s="5" t="s">
        <v>181</v>
      </c>
      <c r="E154" s="5" t="s">
        <v>172</v>
      </c>
      <c r="F154" s="4" t="str">
        <f>IFERROR(__xludf.DUMMYFUNCTION("IFERROR(INDEX(SPLIT(D154, ""_""), 5),"""")"),"Simple")</f>
        <v>Simple</v>
      </c>
      <c r="G154" s="4" t="str">
        <f>IFERROR(__xludf.DUMMYFUNCTION("IFERROR(INDEX(SPLIT(D154, ""_""), 6),"""")"),"Step3")</f>
        <v>Step3</v>
      </c>
      <c r="H154" s="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" t="s">
        <v>8</v>
      </c>
      <c r="B155" s="3" t="str">
        <f>IFERROR(__xludf.DUMMYFUNCTION("IFERROR(INDEX(SPLIT(D155, ""_""), 3),"""")"),"SCIWeap")</f>
        <v>SCIWeap</v>
      </c>
      <c r="C155" s="4" t="str">
        <f>IFERROR(__xludf.DUMMYFUNCTION("IFERROR(REGEXEXTRACT(D155, ""TII.*""), """")"),"TII_SCIWeap_BlackHole_Complex_MixDown_DESIGNED.wav")</f>
        <v>TII_SCIWeap_BlackHole_Complex_MixDown_DESIGNED.wav</v>
      </c>
      <c r="D155" s="5" t="s">
        <v>182</v>
      </c>
      <c r="E155" s="5" t="s">
        <v>183</v>
      </c>
      <c r="F155" s="4" t="str">
        <f>IFERROR(__xludf.DUMMYFUNCTION("IFERROR(INDEX(SPLIT(D155, ""_""), 5),"""")"),"Complex")</f>
        <v>Complex</v>
      </c>
      <c r="G155" s="4" t="str">
        <f>IFERROR(__xludf.DUMMYFUNCTION("IFERROR(INDEX(SPLIT(D155, ""_""), 6),"""")"),"MixDown")</f>
        <v>MixDown</v>
      </c>
      <c r="H155" s="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" t="s">
        <v>8</v>
      </c>
      <c r="B156" s="3" t="str">
        <f>IFERROR(__xludf.DUMMYFUNCTION("IFERROR(INDEX(SPLIT(D156, ""_""), 3),"""")"),"SCIWeap")</f>
        <v>SCIWeap</v>
      </c>
      <c r="C156" s="4" t="str">
        <f>IFERROR(__xludf.DUMMYFUNCTION("IFERROR(REGEXEXTRACT(D156, ""TII.*""), """")"),"TII_SCIWeap_SatelliteBeam_Complex_MixDown_DESIGNED.wav")</f>
        <v>TII_SCIWeap_SatelliteBeam_Complex_MixDown_DESIGNED.wav</v>
      </c>
      <c r="D156" s="5" t="s">
        <v>184</v>
      </c>
      <c r="E156" s="5" t="s">
        <v>185</v>
      </c>
      <c r="F156" s="4" t="str">
        <f>IFERROR(__xludf.DUMMYFUNCTION("IFERROR(INDEX(SPLIT(D156, ""_""), 5),"""")"),"Complex")</f>
        <v>Complex</v>
      </c>
      <c r="G156" s="4" t="str">
        <f>IFERROR(__xludf.DUMMYFUNCTION("IFERROR(INDEX(SPLIT(D156, ""_""), 6),"""")"),"MixDown")</f>
        <v>MixDown</v>
      </c>
      <c r="H156" s="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" t="s">
        <v>8</v>
      </c>
      <c r="B157" s="3" t="str">
        <f>IFERROR(__xludf.DUMMYFUNCTION("IFERROR(INDEX(SPLIT(D157, ""_""), 3),"""")"),"SCIWeap")</f>
        <v>SCIWeap</v>
      </c>
      <c r="C157" s="4" t="str">
        <f>IFERROR(__xludf.DUMMYFUNCTION("IFERROR(REGEXEXTRACT(D157, ""TII.*""), """")"),"TII_SCIWeap_ChargeCannon_Normal_MixDown_DESIGNED.wav")</f>
        <v>TII_SCIWeap_ChargeCannon_Normal_MixDown_DESIGNED.wav</v>
      </c>
      <c r="D157" s="5" t="s">
        <v>186</v>
      </c>
      <c r="E157" s="5" t="s">
        <v>187</v>
      </c>
      <c r="F157" s="4" t="str">
        <f>IFERROR(__xludf.DUMMYFUNCTION("IFERROR(INDEX(SPLIT(D157, ""_""), 5),"""")"),"Normal")</f>
        <v>Normal</v>
      </c>
      <c r="G157" s="4" t="str">
        <f>IFERROR(__xludf.DUMMYFUNCTION("IFERROR(INDEX(SPLIT(D157, ""_""), 6),"""")"),"MixDown")</f>
        <v>MixDown</v>
      </c>
      <c r="H157" s="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" t="s">
        <v>8</v>
      </c>
      <c r="B158" s="3" t="str">
        <f>IFERROR(__xludf.DUMMYFUNCTION("IFERROR(INDEX(SPLIT(D158, ""_""), 3),"""")"),"SCIWeap")</f>
        <v>SCIWeap</v>
      </c>
      <c r="C158" s="4" t="str">
        <f>IFERROR(__xludf.DUMMYFUNCTION("IFERROR(REGEXEXTRACT(D158, ""TII.*""), """")"),"TII_SCIWeap_SCIFIBow_Normal_MixDown_DESIGNED.wav")</f>
        <v>TII_SCIWeap_SCIFIBow_Normal_MixDown_DESIGNED.wav</v>
      </c>
      <c r="D158" s="5" t="s">
        <v>188</v>
      </c>
      <c r="E158" s="5" t="s">
        <v>189</v>
      </c>
      <c r="F158" s="4" t="str">
        <f>IFERROR(__xludf.DUMMYFUNCTION("IFERROR(INDEX(SPLIT(D158, ""_""), 5),"""")"),"Normal")</f>
        <v>Normal</v>
      </c>
      <c r="G158" s="4" t="str">
        <f>IFERROR(__xludf.DUMMYFUNCTION("IFERROR(INDEX(SPLIT(D158, ""_""), 6),"""")"),"MixDown")</f>
        <v>MixDown</v>
      </c>
      <c r="H158" s="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" t="s">
        <v>8</v>
      </c>
      <c r="B159" s="3" t="str">
        <f>IFERROR(__xludf.DUMMYFUNCTION("IFERROR(INDEX(SPLIT(D159, ""_""), 3),"""")"),"SCIWeap")</f>
        <v>SCIWeap</v>
      </c>
      <c r="C159" s="4" t="str">
        <f>IFERROR(__xludf.DUMMYFUNCTION("IFERROR(REGEXEXTRACT(D159, ""TII.*""), """")"),"TII_SCIWeap_BeamSaber_Simple_MixDown_DESIGNED.wav")</f>
        <v>TII_SCIWeap_BeamSaber_Simple_MixDown_DESIGNED.wav</v>
      </c>
      <c r="D159" s="5" t="s">
        <v>190</v>
      </c>
      <c r="E159" s="5" t="s">
        <v>191</v>
      </c>
      <c r="F159" s="4" t="str">
        <f>IFERROR(__xludf.DUMMYFUNCTION("IFERROR(INDEX(SPLIT(D159, ""_""), 5),"""")"),"Simple")</f>
        <v>Simple</v>
      </c>
      <c r="G159" s="4" t="str">
        <f>IFERROR(__xludf.DUMMYFUNCTION("IFERROR(INDEX(SPLIT(D159, ""_""), 6),"""")"),"MixDown")</f>
        <v>MixDown</v>
      </c>
      <c r="H159" s="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" t="s">
        <v>8</v>
      </c>
      <c r="B160" s="3" t="str">
        <f>IFERROR(__xludf.DUMMYFUNCTION("IFERROR(INDEX(SPLIT(D160, ""_""), 3),"""")"),"SCIWeap")</f>
        <v>SCIWeap</v>
      </c>
      <c r="C160" s="4" t="str">
        <f>IFERROR(__xludf.DUMMYFUNCTION("IFERROR(REGEXEXTRACT(D160, ""TII.*""), """")"),"TII_SCIWeap_LaserGunShoot_Simple_MixDown_DESIGNED.wav")</f>
        <v>TII_SCIWeap_LaserGunShoot_Simple_MixDown_DESIGNED.wav</v>
      </c>
      <c r="D160" s="5" t="s">
        <v>192</v>
      </c>
      <c r="E160" s="5" t="s">
        <v>193</v>
      </c>
      <c r="F160" s="4" t="str">
        <f>IFERROR(__xludf.DUMMYFUNCTION("IFERROR(INDEX(SPLIT(D160, ""_""), 5),"""")"),"Simple")</f>
        <v>Simple</v>
      </c>
      <c r="G160" s="4" t="str">
        <f>IFERROR(__xludf.DUMMYFUNCTION("IFERROR(INDEX(SPLIT(D160, ""_""), 6),"""")"),"MixDown")</f>
        <v>MixDown</v>
      </c>
      <c r="H160" s="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" t="s">
        <v>8</v>
      </c>
      <c r="B161" s="3" t="str">
        <f>IFERROR(__xludf.DUMMYFUNCTION("IFERROR(INDEX(SPLIT(D161, ""_""), 3),"""")"),"SCIWeap")</f>
        <v>SCIWeap</v>
      </c>
      <c r="C161" s="4" t="str">
        <f>IFERROR(__xludf.DUMMYFUNCTION("IFERROR(REGEXEXTRACT(D161, ""TII.*""), """")"),"TII_SCIWeap_SCIFIPistolShoot_Simple_MixDown_DESIGNED.wav")</f>
        <v>TII_SCIWeap_SCIFIPistolShoot_Simple_MixDown_DESIGNED.wav</v>
      </c>
      <c r="D161" s="5" t="s">
        <v>194</v>
      </c>
      <c r="E161" s="5" t="s">
        <v>195</v>
      </c>
      <c r="F161" s="4" t="str">
        <f>IFERROR(__xludf.DUMMYFUNCTION("IFERROR(INDEX(SPLIT(D161, ""_""), 5),"""")"),"Simple")</f>
        <v>Simple</v>
      </c>
      <c r="G161" s="4" t="str">
        <f>IFERROR(__xludf.DUMMYFUNCTION("IFERROR(INDEX(SPLIT(D161, ""_""), 6),"""")"),"MixDown")</f>
        <v>MixDown</v>
      </c>
      <c r="H161" s="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" t="s">
        <v>196</v>
      </c>
      <c r="B162" s="3" t="str">
        <f>IFERROR(__xludf.DUMMYFUNCTION("IFERROR(INDEX(SPLIT(D162, ""_""), 3),"""")"),"SCIEnrg")</f>
        <v>SCIEnrg</v>
      </c>
      <c r="C162" s="4" t="str">
        <f>IFERROR(__xludf.DUMMYFUNCTION("IFERROR(REGEXEXTRACT(D162, ""TII.*""), """")"),"TII_SCIEnrg_EnergyShieldUp_Normal_Step1_DESIGNED_01.wav")</f>
        <v>TII_SCIEnrg_EnergyShieldUp_Normal_Step1_DESIGNED_01.wav</v>
      </c>
      <c r="D162" s="5" t="s">
        <v>197</v>
      </c>
      <c r="E162" s="5" t="s">
        <v>198</v>
      </c>
      <c r="F162" s="4" t="str">
        <f>IFERROR(__xludf.DUMMYFUNCTION("IFERROR(INDEX(SPLIT(D162, ""_""), 5),"""")"),"Normal")</f>
        <v>Normal</v>
      </c>
      <c r="G162" s="4" t="str">
        <f>IFERROR(__xludf.DUMMYFUNCTION("IFERROR(INDEX(SPLIT(D162, ""_""), 6),"""")"),"Step1")</f>
        <v>Step1</v>
      </c>
      <c r="H162" s="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" t="s">
        <v>196</v>
      </c>
      <c r="B163" s="3" t="str">
        <f>IFERROR(__xludf.DUMMYFUNCTION("IFERROR(INDEX(SPLIT(D163, ""_""), 3),"""")"),"SCIEnrg")</f>
        <v>SCIEnrg</v>
      </c>
      <c r="C163" s="5" t="s">
        <v>197</v>
      </c>
      <c r="D163" s="5" t="s">
        <v>199</v>
      </c>
      <c r="E163" s="5" t="s">
        <v>198</v>
      </c>
      <c r="F163" s="4" t="str">
        <f>IFERROR(__xludf.DUMMYFUNCTION("IFERROR(INDEX(SPLIT(D163, ""_""), 5),"""")"),"Normal")</f>
        <v>Normal</v>
      </c>
      <c r="G163" s="4" t="str">
        <f>IFERROR(__xludf.DUMMYFUNCTION("IFERROR(INDEX(SPLIT(D163, ""_""), 6),"""")"),"Step1")</f>
        <v>Step1</v>
      </c>
      <c r="H163" s="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" t="s">
        <v>196</v>
      </c>
      <c r="B164" s="3" t="str">
        <f>IFERROR(__xludf.DUMMYFUNCTION("IFERROR(INDEX(SPLIT(D164, ""_""), 3),"""")"),"SCIEnrg")</f>
        <v>SCIEnrg</v>
      </c>
      <c r="C164" s="4" t="str">
        <f>IFERROR(__xludf.DUMMYFUNCTION("IFERROR(REGEXEXTRACT(D164, ""TII.*""), """")"),"TII_SCIEnrg_EnergyShieldUp_Normal_Step1_DESIGNED_03.wav")</f>
        <v>TII_SCIEnrg_EnergyShieldUp_Normal_Step1_DESIGNED_03.wav</v>
      </c>
      <c r="D164" s="5" t="s">
        <v>200</v>
      </c>
      <c r="E164" s="5" t="s">
        <v>198</v>
      </c>
      <c r="F164" s="4" t="str">
        <f>IFERROR(__xludf.DUMMYFUNCTION("IFERROR(INDEX(SPLIT(D164, ""_""), 5),"""")"),"Normal")</f>
        <v>Normal</v>
      </c>
      <c r="G164" s="4" t="str">
        <f>IFERROR(__xludf.DUMMYFUNCTION("IFERROR(INDEX(SPLIT(D164, ""_""), 6),"""")"),"Step1")</f>
        <v>Step1</v>
      </c>
      <c r="H164" s="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" t="s">
        <v>196</v>
      </c>
      <c r="B165" s="3" t="str">
        <f>IFERROR(__xludf.DUMMYFUNCTION("IFERROR(INDEX(SPLIT(D165, ""_""), 3),"""")"),"SCIEnrg")</f>
        <v>SCIEnrg</v>
      </c>
      <c r="C165" s="4" t="str">
        <f>IFERROR(__xludf.DUMMYFUNCTION("IFERROR(REGEXEXTRACT(D165, ""TII.*""), """")"),"TII_SCIEnrg_EnergyShieldUp_Normal_Step1_DESIGNED_04.wav")</f>
        <v>TII_SCIEnrg_EnergyShieldUp_Normal_Step1_DESIGNED_04.wav</v>
      </c>
      <c r="D165" s="5" t="s">
        <v>201</v>
      </c>
      <c r="E165" s="5" t="s">
        <v>198</v>
      </c>
      <c r="F165" s="4" t="str">
        <f>IFERROR(__xludf.DUMMYFUNCTION("IFERROR(INDEX(SPLIT(D165, ""_""), 5),"""")"),"Normal")</f>
        <v>Normal</v>
      </c>
      <c r="G165" s="4" t="str">
        <f>IFERROR(__xludf.DUMMYFUNCTION("IFERROR(INDEX(SPLIT(D165, ""_""), 6),"""")"),"Step1")</f>
        <v>Step1</v>
      </c>
      <c r="H165" s="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" t="s">
        <v>196</v>
      </c>
      <c r="B166" s="3" t="str">
        <f>IFERROR(__xludf.DUMMYFUNCTION("IFERROR(INDEX(SPLIT(D166, ""_""), 3),"""")"),"SCIEnrg")</f>
        <v>SCIEnrg</v>
      </c>
      <c r="C166" s="4" t="str">
        <f>IFERROR(__xludf.DUMMYFUNCTION("IFERROR(REGEXEXTRACT(D166, ""TII.*""), """")"),"TII_SCIEnrg_EnergyShieldUp_Normal_Step1_DESIGNED_05.wav")</f>
        <v>TII_SCIEnrg_EnergyShieldUp_Normal_Step1_DESIGNED_05.wav</v>
      </c>
      <c r="D166" s="5" t="s">
        <v>202</v>
      </c>
      <c r="E166" s="5" t="s">
        <v>198</v>
      </c>
      <c r="F166" s="4" t="str">
        <f>IFERROR(__xludf.DUMMYFUNCTION("IFERROR(INDEX(SPLIT(D166, ""_""), 5),"""")"),"Normal")</f>
        <v>Normal</v>
      </c>
      <c r="G166" s="4" t="str">
        <f>IFERROR(__xludf.DUMMYFUNCTION("IFERROR(INDEX(SPLIT(D166, ""_""), 6),"""")"),"Step1")</f>
        <v>Step1</v>
      </c>
      <c r="H166" s="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" t="s">
        <v>196</v>
      </c>
      <c r="B167" s="3" t="str">
        <f>IFERROR(__xludf.DUMMYFUNCTION("IFERROR(INDEX(SPLIT(D167, ""_""), 3),"""")"),"SCIEnrg")</f>
        <v>SCIEnrg</v>
      </c>
      <c r="C167" s="4" t="str">
        <f>IFERROR(__xludf.DUMMYFUNCTION("IFERROR(REGEXEXTRACT(D167, ""TII.*""), """")"),"TII_SCIEnrg_EnergyShieldUpLow_Normal_Step1_DESIGNED_01.wav")</f>
        <v>TII_SCIEnrg_EnergyShieldUpLow_Normal_Step1_DESIGNED_01.wav</v>
      </c>
      <c r="D167" s="5" t="s">
        <v>203</v>
      </c>
      <c r="E167" s="5" t="s">
        <v>198</v>
      </c>
      <c r="F167" s="4" t="str">
        <f>IFERROR(__xludf.DUMMYFUNCTION("IFERROR(INDEX(SPLIT(D167, ""_""), 5),"""")"),"Normal")</f>
        <v>Normal</v>
      </c>
      <c r="G167" s="4" t="str">
        <f>IFERROR(__xludf.DUMMYFUNCTION("IFERROR(INDEX(SPLIT(D167, ""_""), 6),"""")"),"Step1")</f>
        <v>Step1</v>
      </c>
      <c r="H167" s="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" t="s">
        <v>196</v>
      </c>
      <c r="B168" s="3" t="str">
        <f>IFERROR(__xludf.DUMMYFUNCTION("IFERROR(INDEX(SPLIT(D168, ""_""), 3),"""")"),"SCIEnrg")</f>
        <v>SCIEnrg</v>
      </c>
      <c r="C168" s="4" t="str">
        <f>IFERROR(__xludf.DUMMYFUNCTION("IFERROR(REGEXEXTRACT(D168, ""TII.*""), """")"),"TII_SCIEnrg_EnergyShieldUpLow_Normal_Step1_DESIGNED_02.wav")</f>
        <v>TII_SCIEnrg_EnergyShieldUpLow_Normal_Step1_DESIGNED_02.wav</v>
      </c>
      <c r="D168" s="5" t="s">
        <v>204</v>
      </c>
      <c r="E168" s="5" t="s">
        <v>198</v>
      </c>
      <c r="F168" s="4" t="str">
        <f>IFERROR(__xludf.DUMMYFUNCTION("IFERROR(INDEX(SPLIT(D168, ""_""), 5),"""")"),"Normal")</f>
        <v>Normal</v>
      </c>
      <c r="G168" s="4" t="str">
        <f>IFERROR(__xludf.DUMMYFUNCTION("IFERROR(INDEX(SPLIT(D168, ""_""), 6),"""")"),"Step1")</f>
        <v>Step1</v>
      </c>
      <c r="H168" s="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" t="s">
        <v>196</v>
      </c>
      <c r="B169" s="3" t="str">
        <f>IFERROR(__xludf.DUMMYFUNCTION("IFERROR(INDEX(SPLIT(D169, ""_""), 3),"""")"),"SCIEnrg")</f>
        <v>SCIEnrg</v>
      </c>
      <c r="C169" s="4" t="str">
        <f>IFERROR(__xludf.DUMMYFUNCTION("IFERROR(REGEXEXTRACT(D169, ""TII.*""), """")"),"TII_SCIEnrg_EnergyShieldUpLow_Normal_Step1_DESIGNED_03.wav")</f>
        <v>TII_SCIEnrg_EnergyShieldUpLow_Normal_Step1_DESIGNED_03.wav</v>
      </c>
      <c r="D169" s="5" t="s">
        <v>205</v>
      </c>
      <c r="E169" s="5" t="s">
        <v>198</v>
      </c>
      <c r="F169" s="4" t="str">
        <f>IFERROR(__xludf.DUMMYFUNCTION("IFERROR(INDEX(SPLIT(D169, ""_""), 5),"""")"),"Normal")</f>
        <v>Normal</v>
      </c>
      <c r="G169" s="4" t="str">
        <f>IFERROR(__xludf.DUMMYFUNCTION("IFERROR(INDEX(SPLIT(D169, ""_""), 6),"""")"),"Step1")</f>
        <v>Step1</v>
      </c>
      <c r="H169" s="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" t="s">
        <v>196</v>
      </c>
      <c r="B170" s="3" t="str">
        <f>IFERROR(__xludf.DUMMYFUNCTION("IFERROR(INDEX(SPLIT(D170, ""_""), 3),"""")"),"SCIEnrg")</f>
        <v>SCIEnrg</v>
      </c>
      <c r="C170" s="4" t="str">
        <f>IFERROR(__xludf.DUMMYFUNCTION("IFERROR(REGEXEXTRACT(D170, ""TII.*""), """")"),"TII_SCIEnrg_EnergyShieldUpLow_Normal_Step1_DESIGNED_04.wav")</f>
        <v>TII_SCIEnrg_EnergyShieldUpLow_Normal_Step1_DESIGNED_04.wav</v>
      </c>
      <c r="D170" s="5" t="s">
        <v>206</v>
      </c>
      <c r="E170" s="5" t="s">
        <v>198</v>
      </c>
      <c r="F170" s="4" t="str">
        <f>IFERROR(__xludf.DUMMYFUNCTION("IFERROR(INDEX(SPLIT(D170, ""_""), 5),"""")"),"Normal")</f>
        <v>Normal</v>
      </c>
      <c r="G170" s="4" t="str">
        <f>IFERROR(__xludf.DUMMYFUNCTION("IFERROR(INDEX(SPLIT(D170, ""_""), 6),"""")"),"Step1")</f>
        <v>Step1</v>
      </c>
      <c r="H170" s="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" t="s">
        <v>196</v>
      </c>
      <c r="B171" s="3" t="str">
        <f>IFERROR(__xludf.DUMMYFUNCTION("IFERROR(INDEX(SPLIT(D171, ""_""), 3),"""")"),"SCIEnrg")</f>
        <v>SCIEnrg</v>
      </c>
      <c r="C171" s="4" t="str">
        <f>IFERROR(__xludf.DUMMYFUNCTION("IFERROR(REGEXEXTRACT(D171, ""TII.*""), """")"),"TII_SCIEnrg_EnergyShieldUpLow_Normal_Step1_DESIGNED_05.wav")</f>
        <v>TII_SCIEnrg_EnergyShieldUpLow_Normal_Step1_DESIGNED_05.wav</v>
      </c>
      <c r="D171" s="5" t="s">
        <v>207</v>
      </c>
      <c r="E171" s="5" t="s">
        <v>198</v>
      </c>
      <c r="F171" s="4" t="str">
        <f>IFERROR(__xludf.DUMMYFUNCTION("IFERROR(INDEX(SPLIT(D171, ""_""), 5),"""")"),"Normal")</f>
        <v>Normal</v>
      </c>
      <c r="G171" s="4" t="str">
        <f>IFERROR(__xludf.DUMMYFUNCTION("IFERROR(INDEX(SPLIT(D171, ""_""), 6),"""")"),"Step1")</f>
        <v>Step1</v>
      </c>
      <c r="H171" s="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" t="s">
        <v>196</v>
      </c>
      <c r="B172" s="3" t="str">
        <f>IFERROR(__xludf.DUMMYFUNCTION("IFERROR(INDEX(SPLIT(D172, ""_""), 3),"""")"),"SCIEnrg")</f>
        <v>SCIEnrg</v>
      </c>
      <c r="C172" s="4" t="str">
        <f>IFERROR(__xludf.DUMMYFUNCTION("IFERROR(REGEXEXTRACT(D172, ""TII.*""), """")"),"TII_SCIEnrg_EnergyShieldUpLow_Normal_Step1_DESIGNED_06.wav")</f>
        <v>TII_SCIEnrg_EnergyShieldUpLow_Normal_Step1_DESIGNED_06.wav</v>
      </c>
      <c r="D172" s="5" t="s">
        <v>208</v>
      </c>
      <c r="E172" s="5" t="s">
        <v>198</v>
      </c>
      <c r="F172" s="4" t="str">
        <f>IFERROR(__xludf.DUMMYFUNCTION("IFERROR(INDEX(SPLIT(D172, ""_""), 5),"""")"),"Normal")</f>
        <v>Normal</v>
      </c>
      <c r="G172" s="4" t="str">
        <f>IFERROR(__xludf.DUMMYFUNCTION("IFERROR(INDEX(SPLIT(D172, ""_""), 6),"""")"),"Step1")</f>
        <v>Step1</v>
      </c>
      <c r="H172" s="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196</v>
      </c>
      <c r="B173" s="3" t="str">
        <f>IFERROR(__xludf.DUMMYFUNCTION("IFERROR(INDEX(SPLIT(D173, ""_""), 3),"""")"),"SCIEnrg")</f>
        <v>SCIEnrg</v>
      </c>
      <c r="C173" s="4" t="str">
        <f>IFERROR(__xludf.DUMMYFUNCTION("IFERROR(REGEXEXTRACT(D173, ""TII.*""), """")"),"TII_SCIEnrg_Normal_EnergyShieldLoop_Step2_DESIGNED_01.wav")</f>
        <v>TII_SCIEnrg_Normal_EnergyShieldLoop_Step2_DESIGNED_01.wav</v>
      </c>
      <c r="D173" s="5" t="s">
        <v>209</v>
      </c>
      <c r="E173" s="5" t="s">
        <v>198</v>
      </c>
      <c r="F173" s="4" t="str">
        <f>IFERROR(__xludf.DUMMYFUNCTION("IFERROR(INDEX(SPLIT(D173, ""_""), 5),"""")"),"EnergyShieldLoop")</f>
        <v>EnergyShieldLoop</v>
      </c>
      <c r="G173" s="4" t="str">
        <f>IFERROR(__xludf.DUMMYFUNCTION("IFERROR(INDEX(SPLIT(D173, ""_""), 6),"""")"),"Step2")</f>
        <v>Step2</v>
      </c>
      <c r="H173" s="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" t="s">
        <v>196</v>
      </c>
      <c r="B174" s="3" t="str">
        <f>IFERROR(__xludf.DUMMYFUNCTION("IFERROR(INDEX(SPLIT(D174, ""_""), 3),"""")"),"SCIEnrg")</f>
        <v>SCIEnrg</v>
      </c>
      <c r="C174" s="4" t="str">
        <f>IFERROR(__xludf.DUMMYFUNCTION("IFERROR(REGEXEXTRACT(D174, ""TII.*""), """")"),"TII_SCIEnrg_EnergyShieldLoop_Normal_Step2_DESIGNED_02.wav")</f>
        <v>TII_SCIEnrg_EnergyShieldLoop_Normal_Step2_DESIGNED_02.wav</v>
      </c>
      <c r="D174" s="5" t="s">
        <v>210</v>
      </c>
      <c r="E174" s="5" t="s">
        <v>198</v>
      </c>
      <c r="F174" s="4" t="str">
        <f>IFERROR(__xludf.DUMMYFUNCTION("IFERROR(INDEX(SPLIT(D174, ""_""), 5),"""")"),"Normal")</f>
        <v>Normal</v>
      </c>
      <c r="G174" s="4" t="str">
        <f>IFERROR(__xludf.DUMMYFUNCTION("IFERROR(INDEX(SPLIT(D174, ""_""), 6),"""")"),"Step2")</f>
        <v>Step2</v>
      </c>
      <c r="H174" s="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" t="s">
        <v>196</v>
      </c>
      <c r="B175" s="3" t="str">
        <f>IFERROR(__xludf.DUMMYFUNCTION("IFERROR(INDEX(SPLIT(D175, ""_""), 3),"""")"),"SCIEnrg")</f>
        <v>SCIEnrg</v>
      </c>
      <c r="C175" s="4" t="str">
        <f>IFERROR(__xludf.DUMMYFUNCTION("IFERROR(REGEXEXTRACT(D175, ""TII.*""), """")"),"TII_SCIEnrg_EnergyShieldLoop_Normal_Step2_DESIGNED_03.wav")</f>
        <v>TII_SCIEnrg_EnergyShieldLoop_Normal_Step2_DESIGNED_03.wav</v>
      </c>
      <c r="D175" s="5" t="s">
        <v>211</v>
      </c>
      <c r="E175" s="5" t="s">
        <v>198</v>
      </c>
      <c r="F175" s="4" t="str">
        <f>IFERROR(__xludf.DUMMYFUNCTION("IFERROR(INDEX(SPLIT(D175, ""_""), 5),"""")"),"Normal")</f>
        <v>Normal</v>
      </c>
      <c r="G175" s="4" t="str">
        <f>IFERROR(__xludf.DUMMYFUNCTION("IFERROR(INDEX(SPLIT(D175, ""_""), 6),"""")"),"Step2")</f>
        <v>Step2</v>
      </c>
      <c r="H175" s="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" t="s">
        <v>196</v>
      </c>
      <c r="B176" s="3" t="str">
        <f>IFERROR(__xludf.DUMMYFUNCTION("IFERROR(INDEX(SPLIT(D176, ""_""), 3),"""")"),"SCIEnrg")</f>
        <v>SCIEnrg</v>
      </c>
      <c r="C176" s="4" t="str">
        <f>IFERROR(__xludf.DUMMYFUNCTION("IFERROR(REGEXEXTRACT(D176, ""TII.*""), """")"),"TII_SCIEnrg_EnergyShieldLoop_Normal_Step2_DESIGNED_04.wav")</f>
        <v>TII_SCIEnrg_EnergyShieldLoop_Normal_Step2_DESIGNED_04.wav</v>
      </c>
      <c r="D176" s="5" t="s">
        <v>212</v>
      </c>
      <c r="E176" s="5" t="s">
        <v>198</v>
      </c>
      <c r="F176" s="4" t="str">
        <f>IFERROR(__xludf.DUMMYFUNCTION("IFERROR(INDEX(SPLIT(D176, ""_""), 5),"""")"),"Normal")</f>
        <v>Normal</v>
      </c>
      <c r="G176" s="4" t="str">
        <f>IFERROR(__xludf.DUMMYFUNCTION("IFERROR(INDEX(SPLIT(D176, ""_""), 6),"""")"),"Step2")</f>
        <v>Step2</v>
      </c>
      <c r="H176" s="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" t="s">
        <v>196</v>
      </c>
      <c r="B177" s="3" t="str">
        <f>IFERROR(__xludf.DUMMYFUNCTION("IFERROR(INDEX(SPLIT(D177, ""_""), 3),"""")"),"SCIEnrg")</f>
        <v>SCIEnrg</v>
      </c>
      <c r="C177" s="4" t="str">
        <f>IFERROR(__xludf.DUMMYFUNCTION("IFERROR(REGEXEXTRACT(D177, ""TII.*""), """")"),"TII_SCIEnrg_EnergyShieldLoop_Normal_Step2_DESIGNED_05.wav")</f>
        <v>TII_SCIEnrg_EnergyShieldLoop_Normal_Step2_DESIGNED_05.wav</v>
      </c>
      <c r="D177" s="5" t="s">
        <v>213</v>
      </c>
      <c r="E177" s="5" t="s">
        <v>198</v>
      </c>
      <c r="F177" s="4" t="str">
        <f>IFERROR(__xludf.DUMMYFUNCTION("IFERROR(INDEX(SPLIT(D177, ""_""), 5),"""")"),"Normal")</f>
        <v>Normal</v>
      </c>
      <c r="G177" s="4" t="str">
        <f>IFERROR(__xludf.DUMMYFUNCTION("IFERROR(INDEX(SPLIT(D177, ""_""), 6),"""")"),"Step2")</f>
        <v>Step2</v>
      </c>
      <c r="H177" s="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" t="s">
        <v>196</v>
      </c>
      <c r="B178" s="3" t="str">
        <f>IFERROR(__xludf.DUMMYFUNCTION("IFERROR(INDEX(SPLIT(D178, ""_""), 3),"""")"),"SCIEnrg")</f>
        <v>SCIEnrg</v>
      </c>
      <c r="C178" s="4" t="str">
        <f>IFERROR(__xludf.DUMMYFUNCTION("IFERROR(REGEXEXTRACT(D178, ""TII.*""), """")"),"TII_SCIEnrg_EnergyShieldLoop_Normal_Step2_DESIGNED_06.wav")</f>
        <v>TII_SCIEnrg_EnergyShieldLoop_Normal_Step2_DESIGNED_06.wav</v>
      </c>
      <c r="D178" s="5" t="s">
        <v>214</v>
      </c>
      <c r="E178" s="5" t="s">
        <v>198</v>
      </c>
      <c r="F178" s="4" t="str">
        <f>IFERROR(__xludf.DUMMYFUNCTION("IFERROR(INDEX(SPLIT(D178, ""_""), 5),"""")"),"Normal")</f>
        <v>Normal</v>
      </c>
      <c r="G178" s="4" t="str">
        <f>IFERROR(__xludf.DUMMYFUNCTION("IFERROR(INDEX(SPLIT(D178, ""_""), 6),"""")"),"Step2")</f>
        <v>Step2</v>
      </c>
      <c r="H178" s="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" t="s">
        <v>196</v>
      </c>
      <c r="B179" s="3" t="str">
        <f>IFERROR(__xludf.DUMMYFUNCTION("IFERROR(INDEX(SPLIT(D179, ""_""), 3),"""")"),"SCIEnrg")</f>
        <v>SCIEnrg</v>
      </c>
      <c r="C179" s="4" t="str">
        <f>IFERROR(__xludf.DUMMYFUNCTION("IFERROR(REGEXEXTRACT(D179, ""TII.*""), """")"),"TII_SCIEnrg_EnergyShieldLoop_Normal_Step2_DESIGNED_07.wav")</f>
        <v>TII_SCIEnrg_EnergyShieldLoop_Normal_Step2_DESIGNED_07.wav</v>
      </c>
      <c r="D179" s="5" t="s">
        <v>215</v>
      </c>
      <c r="E179" s="5" t="s">
        <v>198</v>
      </c>
      <c r="F179" s="4" t="str">
        <f>IFERROR(__xludf.DUMMYFUNCTION("IFERROR(INDEX(SPLIT(D179, ""_""), 5),"""")"),"Normal")</f>
        <v>Normal</v>
      </c>
      <c r="G179" s="4" t="str">
        <f>IFERROR(__xludf.DUMMYFUNCTION("IFERROR(INDEX(SPLIT(D179, ""_""), 6),"""")"),"Step2")</f>
        <v>Step2</v>
      </c>
      <c r="H179" s="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" t="s">
        <v>196</v>
      </c>
      <c r="B180" s="3" t="str">
        <f>IFERROR(__xludf.DUMMYFUNCTION("IFERROR(INDEX(SPLIT(D180, ""_""), 3),"""")"),"SCIEnrg")</f>
        <v>SCIEnrg</v>
      </c>
      <c r="C180" s="4" t="str">
        <f>IFERROR(__xludf.DUMMYFUNCTION("IFERROR(REGEXEXTRACT(D180, ""TII.*""), """")"),"TII_SCIEnrg_EnergyShieldDown_Normal_Step3_DESIGNED_01.wav")</f>
        <v>TII_SCIEnrg_EnergyShieldDown_Normal_Step3_DESIGNED_01.wav</v>
      </c>
      <c r="D180" s="5" t="s">
        <v>216</v>
      </c>
      <c r="E180" s="5" t="s">
        <v>198</v>
      </c>
      <c r="F180" s="4" t="str">
        <f>IFERROR(__xludf.DUMMYFUNCTION("IFERROR(INDEX(SPLIT(D180, ""_""), 5),"""")"),"Normal")</f>
        <v>Normal</v>
      </c>
      <c r="G180" s="4" t="str">
        <f>IFERROR(__xludf.DUMMYFUNCTION("IFERROR(INDEX(SPLIT(D180, ""_""), 6),"""")"),"Step3")</f>
        <v>Step3</v>
      </c>
      <c r="H180" s="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" t="s">
        <v>196</v>
      </c>
      <c r="B181" s="3" t="str">
        <f>IFERROR(__xludf.DUMMYFUNCTION("IFERROR(INDEX(SPLIT(D181, ""_""), 3),"""")"),"SCIEnrg")</f>
        <v>SCIEnrg</v>
      </c>
      <c r="C181" s="4" t="str">
        <f>IFERROR(__xludf.DUMMYFUNCTION("IFERROR(REGEXEXTRACT(D181, ""TII.*""), """")"),"TII_SCIEnrg_EnergyShieldDown_Normal_Step3_DESIGNED_02.wav")</f>
        <v>TII_SCIEnrg_EnergyShieldDown_Normal_Step3_DESIGNED_02.wav</v>
      </c>
      <c r="D181" s="5" t="s">
        <v>217</v>
      </c>
      <c r="E181" s="5" t="s">
        <v>198</v>
      </c>
      <c r="F181" s="4" t="str">
        <f>IFERROR(__xludf.DUMMYFUNCTION("IFERROR(INDEX(SPLIT(D181, ""_""), 5),"""")"),"Normal")</f>
        <v>Normal</v>
      </c>
      <c r="G181" s="4" t="str">
        <f>IFERROR(__xludf.DUMMYFUNCTION("IFERROR(INDEX(SPLIT(D181, ""_""), 6),"""")"),"Step3")</f>
        <v>Step3</v>
      </c>
      <c r="H181" s="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" t="s">
        <v>196</v>
      </c>
      <c r="B182" s="3" t="str">
        <f>IFERROR(__xludf.DUMMYFUNCTION("IFERROR(INDEX(SPLIT(D182, ""_""), 3),"""")"),"SCIEnrg")</f>
        <v>SCIEnrg</v>
      </c>
      <c r="C182" s="4" t="str">
        <f>IFERROR(__xludf.DUMMYFUNCTION("IFERROR(REGEXEXTRACT(D182, ""TII.*""), """")"),"TII_SCIEnrg_EnergyShieldDown_Normal_Step3_DESIGNED_03.wav")</f>
        <v>TII_SCIEnrg_EnergyShieldDown_Normal_Step3_DESIGNED_03.wav</v>
      </c>
      <c r="D182" s="5" t="s">
        <v>218</v>
      </c>
      <c r="E182" s="5" t="s">
        <v>198</v>
      </c>
      <c r="F182" s="4" t="str">
        <f>IFERROR(__xludf.DUMMYFUNCTION("IFERROR(INDEX(SPLIT(D182, ""_""), 5),"""")"),"Normal")</f>
        <v>Normal</v>
      </c>
      <c r="G182" s="4" t="str">
        <f>IFERROR(__xludf.DUMMYFUNCTION("IFERROR(INDEX(SPLIT(D182, ""_""), 6),"""")"),"Step3")</f>
        <v>Step3</v>
      </c>
      <c r="H182" s="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" t="s">
        <v>196</v>
      </c>
      <c r="B183" s="3" t="str">
        <f>IFERROR(__xludf.DUMMYFUNCTION("IFERROR(INDEX(SPLIT(D183, ""_""), 3),"""")"),"SCIEnrg")</f>
        <v>SCIEnrg</v>
      </c>
      <c r="C183" s="4" t="str">
        <f>IFERROR(__xludf.DUMMYFUNCTION("IFERROR(REGEXEXTRACT(D183, ""TII.*""), """")"),"TII_SCIEnrg_EnergyShieldDown_Normal_Step3_DESIGNED_04.wav")</f>
        <v>TII_SCIEnrg_EnergyShieldDown_Normal_Step3_DESIGNED_04.wav</v>
      </c>
      <c r="D183" s="5" t="s">
        <v>219</v>
      </c>
      <c r="E183" s="5" t="s">
        <v>198</v>
      </c>
      <c r="F183" s="4" t="str">
        <f>IFERROR(__xludf.DUMMYFUNCTION("IFERROR(INDEX(SPLIT(D183, ""_""), 5),"""")"),"Normal")</f>
        <v>Normal</v>
      </c>
      <c r="G183" s="4" t="str">
        <f>IFERROR(__xludf.DUMMYFUNCTION("IFERROR(INDEX(SPLIT(D183, ""_""), 6),"""")"),"Step3")</f>
        <v>Step3</v>
      </c>
      <c r="H183" s="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" t="s">
        <v>196</v>
      </c>
      <c r="B184" s="3" t="str">
        <f>IFERROR(__xludf.DUMMYFUNCTION("IFERROR(INDEX(SPLIT(D184, ""_""), 3),"""")"),"SCIEnrg")</f>
        <v>SCIEnrg</v>
      </c>
      <c r="C184" s="4" t="str">
        <f>IFERROR(__xludf.DUMMYFUNCTION("IFERROR(REGEXEXTRACT(D184, ""TII.*""), """")"),"TII_SCIEnrg_EnergyShieldDownLow_Normal_Step3_DESIGNED_01.wav")</f>
        <v>TII_SCIEnrg_EnergyShieldDownLow_Normal_Step3_DESIGNED_01.wav</v>
      </c>
      <c r="D184" s="5" t="s">
        <v>220</v>
      </c>
      <c r="E184" s="5" t="s">
        <v>198</v>
      </c>
      <c r="F184" s="4" t="str">
        <f>IFERROR(__xludf.DUMMYFUNCTION("IFERROR(INDEX(SPLIT(D184, ""_""), 5),"""")"),"Normal")</f>
        <v>Normal</v>
      </c>
      <c r="G184" s="4" t="str">
        <f>IFERROR(__xludf.DUMMYFUNCTION("IFERROR(INDEX(SPLIT(D184, ""_""), 6),"""")"),"Step3")</f>
        <v>Step3</v>
      </c>
      <c r="H184" s="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" t="s">
        <v>196</v>
      </c>
      <c r="B185" s="3" t="str">
        <f>IFERROR(__xludf.DUMMYFUNCTION("IFERROR(INDEX(SPLIT(D185, ""_""), 3),"""")"),"SCIEnrg")</f>
        <v>SCIEnrg</v>
      </c>
      <c r="C185" s="4" t="str">
        <f>IFERROR(__xludf.DUMMYFUNCTION("IFERROR(REGEXEXTRACT(D185, ""TII.*""), """")"),"TII_SCIEnrg_EnergyShieldDownLow_Normal_Step3_DESIGNED_02.wav")</f>
        <v>TII_SCIEnrg_EnergyShieldDownLow_Normal_Step3_DESIGNED_02.wav</v>
      </c>
      <c r="D185" s="5" t="s">
        <v>221</v>
      </c>
      <c r="E185" s="5" t="s">
        <v>198</v>
      </c>
      <c r="F185" s="4" t="str">
        <f>IFERROR(__xludf.DUMMYFUNCTION("IFERROR(INDEX(SPLIT(D185, ""_""), 5),"""")"),"Normal")</f>
        <v>Normal</v>
      </c>
      <c r="G185" s="4" t="str">
        <f>IFERROR(__xludf.DUMMYFUNCTION("IFERROR(INDEX(SPLIT(D185, ""_""), 6),"""")"),"Step3")</f>
        <v>Step3</v>
      </c>
      <c r="H185" s="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" t="s">
        <v>196</v>
      </c>
      <c r="B186" s="3" t="str">
        <f>IFERROR(__xludf.DUMMYFUNCTION("IFERROR(INDEX(SPLIT(D186, ""_""), 3),"""")"),"SCIEnrg")</f>
        <v>SCIEnrg</v>
      </c>
      <c r="C186" s="4" t="str">
        <f>IFERROR(__xludf.DUMMYFUNCTION("IFERROR(REGEXEXTRACT(D186, ""TII.*""), """")"),"TII_SCIEnrg_EnergyShieldDownLow_Normal_Step3_DESIGNED_03.wav")</f>
        <v>TII_SCIEnrg_EnergyShieldDownLow_Normal_Step3_DESIGNED_03.wav</v>
      </c>
      <c r="D186" s="5" t="s">
        <v>222</v>
      </c>
      <c r="E186" s="5" t="s">
        <v>198</v>
      </c>
      <c r="F186" s="4" t="str">
        <f>IFERROR(__xludf.DUMMYFUNCTION("IFERROR(INDEX(SPLIT(D186, ""_""), 5),"""")"),"Normal")</f>
        <v>Normal</v>
      </c>
      <c r="G186" s="4" t="str">
        <f>IFERROR(__xludf.DUMMYFUNCTION("IFERROR(INDEX(SPLIT(D186, ""_""), 6),"""")"),"Step3")</f>
        <v>Step3</v>
      </c>
      <c r="H186" s="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" t="s">
        <v>196</v>
      </c>
      <c r="B187" s="3" t="str">
        <f>IFERROR(__xludf.DUMMYFUNCTION("IFERROR(INDEX(SPLIT(D187, ""_""), 3),"""")"),"SCIEnrg")</f>
        <v>SCIEnrg</v>
      </c>
      <c r="C187" s="4" t="str">
        <f>IFERROR(__xludf.DUMMYFUNCTION("IFERROR(REGEXEXTRACT(D187, ""TII.*""), """")"),"TII_SCIEnrg_EnergyShieldDownLow_Normal_Step3_DESIGNED_04.wav")</f>
        <v>TII_SCIEnrg_EnergyShieldDownLow_Normal_Step3_DESIGNED_04.wav</v>
      </c>
      <c r="D187" s="5" t="s">
        <v>223</v>
      </c>
      <c r="E187" s="5" t="s">
        <v>198</v>
      </c>
      <c r="F187" s="4" t="str">
        <f>IFERROR(__xludf.DUMMYFUNCTION("IFERROR(INDEX(SPLIT(D187, ""_""), 5),"""")"),"Normal")</f>
        <v>Normal</v>
      </c>
      <c r="G187" s="4" t="str">
        <f>IFERROR(__xludf.DUMMYFUNCTION("IFERROR(INDEX(SPLIT(D187, ""_""), 6),"""")"),"Step3")</f>
        <v>Step3</v>
      </c>
      <c r="H187" s="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" t="s">
        <v>196</v>
      </c>
      <c r="B188" s="3" t="str">
        <f>IFERROR(__xludf.DUMMYFUNCTION("IFERROR(INDEX(SPLIT(D188, ""_""), 3),"""")"),"SCIEnrg")</f>
        <v>SCIEnrg</v>
      </c>
      <c r="C188" s="4" t="str">
        <f>IFERROR(__xludf.DUMMYFUNCTION("IFERROR(REGEXEXTRACT(D188, ""TII.*""), """")"),"TII_SCIEnrg_EnergyShieldDownLow_Normal_Step3_DESIGNED_05.wav")</f>
        <v>TII_SCIEnrg_EnergyShieldDownLow_Normal_Step3_DESIGNED_05.wav</v>
      </c>
      <c r="D188" s="5" t="s">
        <v>224</v>
      </c>
      <c r="E188" s="5" t="s">
        <v>198</v>
      </c>
      <c r="F188" s="4" t="str">
        <f>IFERROR(__xludf.DUMMYFUNCTION("IFERROR(INDEX(SPLIT(D188, ""_""), 5),"""")"),"Normal")</f>
        <v>Normal</v>
      </c>
      <c r="G188" s="4" t="str">
        <f>IFERROR(__xludf.DUMMYFUNCTION("IFERROR(INDEX(SPLIT(D188, ""_""), 6),"""")"),"Step3")</f>
        <v>Step3</v>
      </c>
      <c r="H188" s="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" t="s">
        <v>196</v>
      </c>
      <c r="B189" s="3" t="str">
        <f>IFERROR(__xludf.DUMMYFUNCTION("IFERROR(INDEX(SPLIT(D189, ""_""), 3),"""")"),"SCIEnrg")</f>
        <v>SCIEnrg</v>
      </c>
      <c r="C189" s="4" t="str">
        <f>IFERROR(__xludf.DUMMYFUNCTION("IFERROR(REGEXEXTRACT(D189, ""TII.*""), """")"),"TII_SCIEnrg_EnergyShieldImpact_Normal_Step3_DESIGNED_01.wav")</f>
        <v>TII_SCIEnrg_EnergyShieldImpact_Normal_Step3_DESIGNED_01.wav</v>
      </c>
      <c r="D189" s="5" t="s">
        <v>225</v>
      </c>
      <c r="E189" s="5" t="s">
        <v>198</v>
      </c>
      <c r="F189" s="4" t="str">
        <f>IFERROR(__xludf.DUMMYFUNCTION("IFERROR(INDEX(SPLIT(D189, ""_""), 5),"""")"),"Normal")</f>
        <v>Normal</v>
      </c>
      <c r="G189" s="4" t="str">
        <f>IFERROR(__xludf.DUMMYFUNCTION("IFERROR(INDEX(SPLIT(D189, ""_""), 6),"""")"),"Step3")</f>
        <v>Step3</v>
      </c>
      <c r="H189" s="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" t="s">
        <v>196</v>
      </c>
      <c r="B190" s="3" t="str">
        <f>IFERROR(__xludf.DUMMYFUNCTION("IFERROR(INDEX(SPLIT(D190, ""_""), 3),"""")"),"SCIEnrg")</f>
        <v>SCIEnrg</v>
      </c>
      <c r="C190" s="4" t="str">
        <f>IFERROR(__xludf.DUMMYFUNCTION("IFERROR(REGEXEXTRACT(D190, ""TII.*""), """")"),"TII_SCIEnrg_EnergyShieldImpact_Normal_Step3_DESIGNED_02.wav")</f>
        <v>TII_SCIEnrg_EnergyShieldImpact_Normal_Step3_DESIGNED_02.wav</v>
      </c>
      <c r="D190" s="5" t="s">
        <v>226</v>
      </c>
      <c r="E190" s="5" t="s">
        <v>198</v>
      </c>
      <c r="F190" s="4" t="str">
        <f>IFERROR(__xludf.DUMMYFUNCTION("IFERROR(INDEX(SPLIT(D190, ""_""), 5),"""")"),"Normal")</f>
        <v>Normal</v>
      </c>
      <c r="G190" s="4" t="str">
        <f>IFERROR(__xludf.DUMMYFUNCTION("IFERROR(INDEX(SPLIT(D190, ""_""), 6),"""")"),"Step3")</f>
        <v>Step3</v>
      </c>
      <c r="H190" s="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" t="s">
        <v>196</v>
      </c>
      <c r="B191" s="3" t="str">
        <f>IFERROR(__xludf.DUMMYFUNCTION("IFERROR(INDEX(SPLIT(D191, ""_""), 3),"""")"),"SCIEnrg")</f>
        <v>SCIEnrg</v>
      </c>
      <c r="C191" s="4" t="str">
        <f>IFERROR(__xludf.DUMMYFUNCTION("IFERROR(REGEXEXTRACT(D191, ""TII.*""), """")"),"TII_SCIEnrg_EnergyShieldImpact_Normal_Step3_DESIGNED_03.wav")</f>
        <v>TII_SCIEnrg_EnergyShieldImpact_Normal_Step3_DESIGNED_03.wav</v>
      </c>
      <c r="D191" s="5" t="s">
        <v>227</v>
      </c>
      <c r="E191" s="5" t="s">
        <v>198</v>
      </c>
      <c r="F191" s="4" t="str">
        <f>IFERROR(__xludf.DUMMYFUNCTION("IFERROR(INDEX(SPLIT(D191, ""_""), 5),"""")"),"Normal")</f>
        <v>Normal</v>
      </c>
      <c r="G191" s="4" t="str">
        <f>IFERROR(__xludf.DUMMYFUNCTION("IFERROR(INDEX(SPLIT(D191, ""_""), 6),"""")"),"Step3")</f>
        <v>Step3</v>
      </c>
      <c r="H191" s="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" t="s">
        <v>196</v>
      </c>
      <c r="B192" s="3" t="str">
        <f>IFERROR(__xludf.DUMMYFUNCTION("IFERROR(INDEX(SPLIT(D192, ""_""), 3),"""")"),"SCIEnrg")</f>
        <v>SCIEnrg</v>
      </c>
      <c r="C192" s="4" t="str">
        <f>IFERROR(__xludf.DUMMYFUNCTION("IFERROR(REGEXEXTRACT(D192, ""TII.*""), """")"),"TII_SCIEnrg_EnergyShieldImpact_Normal_Step3_DESIGNED_04.wav")</f>
        <v>TII_SCIEnrg_EnergyShieldImpact_Normal_Step3_DESIGNED_04.wav</v>
      </c>
      <c r="D192" s="5" t="s">
        <v>228</v>
      </c>
      <c r="E192" s="5" t="s">
        <v>198</v>
      </c>
      <c r="F192" s="4" t="str">
        <f>IFERROR(__xludf.DUMMYFUNCTION("IFERROR(INDEX(SPLIT(D192, ""_""), 5),"""")"),"Normal")</f>
        <v>Normal</v>
      </c>
      <c r="G192" s="4" t="str">
        <f>IFERROR(__xludf.DUMMYFUNCTION("IFERROR(INDEX(SPLIT(D192, ""_""), 6),"""")"),"Step3")</f>
        <v>Step3</v>
      </c>
      <c r="H192" s="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" t="s">
        <v>196</v>
      </c>
      <c r="B193" s="3" t="str">
        <f>IFERROR(__xludf.DUMMYFUNCTION("IFERROR(INDEX(SPLIT(D193, ""_""), 3),"""")"),"SCIEnrg")</f>
        <v>SCIEnrg</v>
      </c>
      <c r="C193" s="4" t="str">
        <f>IFERROR(__xludf.DUMMYFUNCTION("IFERROR(REGEXEXTRACT(D193, ""TII.*""), """")"),"TII_SCIEnrg_Normal_EnergyShield_MixDown_DESIGNED_01.wav")</f>
        <v>TII_SCIEnrg_Normal_EnergyShield_MixDown_DESIGNED_01.wav</v>
      </c>
      <c r="D193" s="5" t="s">
        <v>229</v>
      </c>
      <c r="E193" s="5" t="s">
        <v>198</v>
      </c>
      <c r="F193" s="4" t="str">
        <f>IFERROR(__xludf.DUMMYFUNCTION("IFERROR(INDEX(SPLIT(D193, ""_""), 5),"""")"),"EnergyShield")</f>
        <v>EnergyShield</v>
      </c>
      <c r="G193" s="4" t="str">
        <f>IFERROR(__xludf.DUMMYFUNCTION("IFERROR(INDEX(SPLIT(D193, ""_""), 6),"""")"),"MixDown")</f>
        <v>MixDown</v>
      </c>
      <c r="H193" s="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196</v>
      </c>
      <c r="B194" s="3" t="str">
        <f>IFERROR(__xludf.DUMMYFUNCTION("IFERROR(INDEX(SPLIT(D194, ""_""), 3),"""")"),"SCIEnrg")</f>
        <v>SCIEnrg</v>
      </c>
      <c r="C194" s="4" t="str">
        <f>IFERROR(__xludf.DUMMYFUNCTION("IFERROR(REGEXEXTRACT(D194, ""TII.*""), """")"),"TII_SCIEnrg_Normal_EnergyShield_MixDown_DESIGNED_02.wav")</f>
        <v>TII_SCIEnrg_Normal_EnergyShield_MixDown_DESIGNED_02.wav</v>
      </c>
      <c r="D194" s="5" t="s">
        <v>230</v>
      </c>
      <c r="E194" s="5" t="s">
        <v>198</v>
      </c>
      <c r="F194" s="4" t="str">
        <f>IFERROR(__xludf.DUMMYFUNCTION("IFERROR(INDEX(SPLIT(D194, ""_""), 5),"""")"),"EnergyShield")</f>
        <v>EnergyShield</v>
      </c>
      <c r="G194" s="4" t="str">
        <f>IFERROR(__xludf.DUMMYFUNCTION("IFERROR(INDEX(SPLIT(D194, ""_""), 6),"""")"),"MixDown")</f>
        <v>MixDown</v>
      </c>
      <c r="H194" s="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" t="s">
        <v>196</v>
      </c>
      <c r="B195" s="3" t="str">
        <f>IFERROR(__xludf.DUMMYFUNCTION("IFERROR(INDEX(SPLIT(D195, ""_""), 3),"""")"),"SCIEnrg")</f>
        <v>SCIEnrg</v>
      </c>
      <c r="C195" s="4" t="str">
        <f>IFERROR(__xludf.DUMMYFUNCTION("IFERROR(REGEXEXTRACT(D195, ""TII.*""), """")"),"TII_SCIEnrg_Normal_EnergyShield_MixDown_DESIGNED_03.wav")</f>
        <v>TII_SCIEnrg_Normal_EnergyShield_MixDown_DESIGNED_03.wav</v>
      </c>
      <c r="D195" s="5" t="s">
        <v>231</v>
      </c>
      <c r="E195" s="5" t="s">
        <v>198</v>
      </c>
      <c r="F195" s="4" t="str">
        <f>IFERROR(__xludf.DUMMYFUNCTION("IFERROR(INDEX(SPLIT(D195, ""_""), 5),"""")"),"EnergyShield")</f>
        <v>EnergyShield</v>
      </c>
      <c r="G195" s="4" t="str">
        <f>IFERROR(__xludf.DUMMYFUNCTION("IFERROR(INDEX(SPLIT(D195, ""_""), 6),"""")"),"MixDown")</f>
        <v>MixDown</v>
      </c>
      <c r="H195" s="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" t="s">
        <v>232</v>
      </c>
      <c r="B196" s="3" t="str">
        <f>IFERROR(__xludf.DUMMYFUNCTION("IFERROR(INDEX(SPLIT(D196, ""_""), 3),"""")"),"SCIEnrg")</f>
        <v>SCIEnrg</v>
      </c>
      <c r="C196" s="5" t="s">
        <v>233</v>
      </c>
      <c r="D196" s="5" t="s">
        <v>234</v>
      </c>
      <c r="E196" s="5" t="s">
        <v>235</v>
      </c>
      <c r="F196" s="4" t="str">
        <f>IFERROR(__xludf.DUMMYFUNCTION("IFERROR(INDEX(SPLIT(D196, ""_""), 5),"""")"),"Normal")</f>
        <v>Normal</v>
      </c>
      <c r="G196" s="4" t="str">
        <f>IFERROR(__xludf.DUMMYFUNCTION("IFERROR(INDEX(SPLIT(D169, ""_""), 6),"""")"),"Step1")</f>
        <v>Step1</v>
      </c>
      <c r="H196" s="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" t="s">
        <v>232</v>
      </c>
      <c r="B197" s="3" t="str">
        <f>IFERROR(__xludf.DUMMYFUNCTION("IFERROR(INDEX(SPLIT(D198, ""_""), 3),"""")"),"SCIEnrg")</f>
        <v>SCIEnrg</v>
      </c>
      <c r="C197" s="5" t="s">
        <v>236</v>
      </c>
      <c r="D197" s="5" t="s">
        <v>237</v>
      </c>
      <c r="E197" s="5" t="s">
        <v>235</v>
      </c>
      <c r="F197" s="4" t="str">
        <f>IFERROR(__xludf.DUMMYFUNCTION("IFERROR(INDEX(SPLIT(D197, ""_""), 5),"""")"),"Normal")</f>
        <v>Normal</v>
      </c>
      <c r="G197" s="4" t="str">
        <f>IFERROR(__xludf.DUMMYFUNCTION("IFERROR(INDEX(SPLIT(D169, ""_""), 6),"""")"),"Step1")</f>
        <v>Step1</v>
      </c>
      <c r="H197" s="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" t="s">
        <v>232</v>
      </c>
      <c r="B198" s="3" t="str">
        <f>IFERROR(__xludf.DUMMYFUNCTION("IFERROR(INDEX(SPLIT(D198, ""_""), 3),"""")"),"SCIEnrg")</f>
        <v>SCIEnrg</v>
      </c>
      <c r="C198" s="5" t="s">
        <v>238</v>
      </c>
      <c r="D198" s="5" t="s">
        <v>239</v>
      </c>
      <c r="E198" s="5" t="s">
        <v>235</v>
      </c>
      <c r="F198" s="4" t="str">
        <f>IFERROR(__xludf.DUMMYFUNCTION("IFERROR(INDEX(SPLIT(D198, ""_""), 5),"""")"),"Normal")</f>
        <v>Normal</v>
      </c>
      <c r="G198" s="4" t="str">
        <f>IFERROR(__xludf.DUMMYFUNCTION("IFERROR(INDEX(SPLIT(D169, ""_""), 6),"""")"),"Step1")</f>
        <v>Step1</v>
      </c>
      <c r="H198" s="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" t="s">
        <v>232</v>
      </c>
      <c r="B199" s="3" t="str">
        <f>IFERROR(__xludf.DUMMYFUNCTION("IFERROR(INDEX(SPLIT(D199, ""_""), 3),"""")"),"SCIEnrg")</f>
        <v>SCIEnrg</v>
      </c>
      <c r="C199" s="5" t="s">
        <v>240</v>
      </c>
      <c r="D199" s="5" t="s">
        <v>241</v>
      </c>
      <c r="E199" s="5" t="s">
        <v>235</v>
      </c>
      <c r="F199" s="4" t="str">
        <f>IFERROR(__xludf.DUMMYFUNCTION("IFERROR(INDEX(SPLIT(D199, ""_""), 5),"""")"),"Normal")</f>
        <v>Normal</v>
      </c>
      <c r="G199" s="4" t="str">
        <f>IFERROR(__xludf.DUMMYFUNCTION("IFERROR(INDEX(SPLIT(D169, ""_""), 6),"""")"),"Step1")</f>
        <v>Step1</v>
      </c>
      <c r="H199" s="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" t="s">
        <v>232</v>
      </c>
      <c r="B200" s="3" t="str">
        <f>IFERROR(__xludf.DUMMYFUNCTION("IFERROR(INDEX(SPLIT(D200, ""_""), 3),"""")"),"SCIEnrg")</f>
        <v>SCIEnrg</v>
      </c>
      <c r="C200" s="5" t="s">
        <v>242</v>
      </c>
      <c r="D200" s="5" t="s">
        <v>243</v>
      </c>
      <c r="E200" s="5" t="s">
        <v>235</v>
      </c>
      <c r="F200" s="4" t="str">
        <f>IFERROR(__xludf.DUMMYFUNCTION("IFERROR(INDEX(SPLIT(D200, ""_""), 5),"""")"),"Normal")</f>
        <v>Normal</v>
      </c>
      <c r="G200" s="4" t="str">
        <f>IFERROR(__xludf.DUMMYFUNCTION("IFERROR(INDEX(SPLIT(D169, ""_""), 6),"""")"),"Step1")</f>
        <v>Step1</v>
      </c>
      <c r="H200" s="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" t="s">
        <v>232</v>
      </c>
      <c r="B201" s="3" t="str">
        <f>IFERROR(__xludf.DUMMYFUNCTION("IFERROR(INDEX(SPLIT(D201, ""_""), 3),"""")"),"SCIEnrg")</f>
        <v>SCIEnrg</v>
      </c>
      <c r="C201" s="5" t="s">
        <v>244</v>
      </c>
      <c r="D201" s="5" t="s">
        <v>245</v>
      </c>
      <c r="E201" s="5" t="s">
        <v>235</v>
      </c>
      <c r="F201" s="4" t="str">
        <f>IFERROR(__xludf.DUMMYFUNCTION("IFERROR(INDEX(SPLIT(D201, ""_""), 5),"""")"),"Normal")</f>
        <v>Normal</v>
      </c>
      <c r="G201" s="4" t="str">
        <f>IFERROR(__xludf.DUMMYFUNCTION("IFERROR(INDEX(SPLIT(D169, ""_""), 6),"""")"),"Step1")</f>
        <v>Step1</v>
      </c>
      <c r="H201" s="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" t="s">
        <v>232</v>
      </c>
      <c r="B202" s="3" t="str">
        <f>IFERROR(__xludf.DUMMYFUNCTION("IFERROR(INDEX(SPLIT(D202, ""_""), 3),"""")"),"SCIEnrg")</f>
        <v>SCIEnrg</v>
      </c>
      <c r="C202" s="5" t="s">
        <v>246</v>
      </c>
      <c r="D202" s="5" t="s">
        <v>247</v>
      </c>
      <c r="E202" s="5" t="s">
        <v>235</v>
      </c>
      <c r="F202" s="4" t="str">
        <f>IFERROR(__xludf.DUMMYFUNCTION("IFERROR(INDEX(SPLIT(D202, ""_""), 5),"""")"),"Normal")</f>
        <v>Normal</v>
      </c>
      <c r="G202" s="4" t="str">
        <f>IFERROR(__xludf.DUMMYFUNCTION("IFERROR(INDEX(SPLIT(D178, ""_""), 6),"""")"),"Step2")</f>
        <v>Step2</v>
      </c>
      <c r="H202" s="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" t="s">
        <v>232</v>
      </c>
      <c r="B203" s="3" t="str">
        <f>IFERROR(__xludf.DUMMYFUNCTION("IFERROR(INDEX(SPLIT(D203, ""_""), 3),"""")"),"SCIEnrg")</f>
        <v>SCIEnrg</v>
      </c>
      <c r="C203" s="5" t="s">
        <v>248</v>
      </c>
      <c r="D203" s="5" t="s">
        <v>249</v>
      </c>
      <c r="E203" s="5" t="s">
        <v>235</v>
      </c>
      <c r="F203" s="4" t="str">
        <f>IFERROR(__xludf.DUMMYFUNCTION("IFERROR(INDEX(SPLIT(D203, ""_""), 5),"""")"),"Normal")</f>
        <v>Normal</v>
      </c>
      <c r="G203" s="4" t="str">
        <f>IFERROR(__xludf.DUMMYFUNCTION("IFERROR(INDEX(SPLIT(D178, ""_""), 6),"""")"),"Step2")</f>
        <v>Step2</v>
      </c>
      <c r="H203" s="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" t="s">
        <v>232</v>
      </c>
      <c r="B204" s="3" t="str">
        <f>IFERROR(__xludf.DUMMYFUNCTION("IFERROR(INDEX(SPLIT(D204, ""_""), 3),"""")"),"SCIEnrg")</f>
        <v>SCIEnrg</v>
      </c>
      <c r="C204" s="5" t="s">
        <v>250</v>
      </c>
      <c r="D204" s="5" t="s">
        <v>251</v>
      </c>
      <c r="E204" s="5" t="s">
        <v>235</v>
      </c>
      <c r="F204" s="4" t="str">
        <f>IFERROR(__xludf.DUMMYFUNCTION("IFERROR(INDEX(SPLIT(D204, ""_""), 5),"""")"),"Normal")</f>
        <v>Normal</v>
      </c>
      <c r="G204" s="4" t="str">
        <f>IFERROR(__xludf.DUMMYFUNCTION("IFERROR(INDEX(SPLIT(D178, ""_""), 6),"""")"),"Step2")</f>
        <v>Step2</v>
      </c>
      <c r="H204" s="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" t="s">
        <v>232</v>
      </c>
      <c r="B205" s="3" t="str">
        <f>IFERROR(__xludf.DUMMYFUNCTION("IFERROR(INDEX(SPLIT(D205, ""_""), 3),"""")"),"SCIEnrg")</f>
        <v>SCIEnrg</v>
      </c>
      <c r="C205" s="5" t="s">
        <v>252</v>
      </c>
      <c r="D205" s="5" t="s">
        <v>253</v>
      </c>
      <c r="E205" s="5" t="s">
        <v>235</v>
      </c>
      <c r="F205" s="4" t="str">
        <f>IFERROR(__xludf.DUMMYFUNCTION("IFERROR(INDEX(SPLIT(D205, ""_""), 5),"""")"),"Normal")</f>
        <v>Normal</v>
      </c>
      <c r="G205" s="4" t="str">
        <f>IFERROR(__xludf.DUMMYFUNCTION("IFERROR(INDEX(SPLIT(D178, ""_""), 6),"""")"),"Step2")</f>
        <v>Step2</v>
      </c>
      <c r="H205" s="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" t="s">
        <v>232</v>
      </c>
      <c r="B206" s="3" t="str">
        <f>IFERROR(__xludf.DUMMYFUNCTION("IFERROR(INDEX(SPLIT(D206, ""_""), 3),"""")"),"SCIEnrg")</f>
        <v>SCIEnrg</v>
      </c>
      <c r="C206" s="5" t="s">
        <v>254</v>
      </c>
      <c r="D206" s="5" t="s">
        <v>255</v>
      </c>
      <c r="E206" s="5" t="s">
        <v>235</v>
      </c>
      <c r="F206" s="4" t="str">
        <f>IFERROR(__xludf.DUMMYFUNCTION("IFERROR(INDEX(SPLIT(D206, ""_""), 5),"""")"),"Normal")</f>
        <v>Normal</v>
      </c>
      <c r="G206" s="4" t="str">
        <f>IFERROR(__xludf.DUMMYFUNCTION("IFERROR(INDEX(SPLIT(D178, ""_""), 6),"""")"),"Step2")</f>
        <v>Step2</v>
      </c>
      <c r="H206" s="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" t="s">
        <v>232</v>
      </c>
      <c r="B207" s="3" t="str">
        <f>IFERROR(__xludf.DUMMYFUNCTION("IFERROR(INDEX(SPLIT(D207, ""_""), 3),"""")"),"SCIEnrg")</f>
        <v>SCIEnrg</v>
      </c>
      <c r="C207" s="5" t="s">
        <v>256</v>
      </c>
      <c r="D207" s="5" t="s">
        <v>257</v>
      </c>
      <c r="E207" s="5" t="s">
        <v>235</v>
      </c>
      <c r="F207" s="4" t="str">
        <f>IFERROR(__xludf.DUMMYFUNCTION("IFERROR(INDEX(SPLIT(D207, ""_""), 5),"""")"),"Normal")</f>
        <v>Normal</v>
      </c>
      <c r="G207" s="4" t="str">
        <f>IFERROR(__xludf.DUMMYFUNCTION("IFERROR(INDEX(SPLIT(D178, ""_""), 6),"""")"),"Step2")</f>
        <v>Step2</v>
      </c>
      <c r="H207" s="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" t="s">
        <v>232</v>
      </c>
      <c r="B208" s="3" t="str">
        <f>IFERROR(__xludf.DUMMYFUNCTION("IFERROR(INDEX(SPLIT(D208, ""_""), 3),"""")"),"SCIEnrg")</f>
        <v>SCIEnrg</v>
      </c>
      <c r="C208" s="5" t="s">
        <v>258</v>
      </c>
      <c r="D208" s="5" t="s">
        <v>259</v>
      </c>
      <c r="E208" s="5" t="s">
        <v>235</v>
      </c>
      <c r="F208" s="4" t="str">
        <f>IFERROR(__xludf.DUMMYFUNCTION("IFERROR(INDEX(SPLIT(D208, ""_""), 5),"""")"),"Normal")</f>
        <v>Normal</v>
      </c>
      <c r="G208" s="4" t="str">
        <f>IFERROR(__xludf.DUMMYFUNCTION("IFERROR(INDEX(SPLIT(D193, ""_""), 6),"""")"),"MixDown")</f>
        <v>MixDown</v>
      </c>
      <c r="H208" s="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" t="s">
        <v>232</v>
      </c>
      <c r="B209" s="3" t="str">
        <f>IFERROR(__xludf.DUMMYFUNCTION("IFERROR(INDEX(SPLIT(D209, ""_""), 3),"""")"),"SCIEnrg")</f>
        <v>SCIEnrg</v>
      </c>
      <c r="C209" s="5" t="s">
        <v>260</v>
      </c>
      <c r="D209" s="5" t="s">
        <v>261</v>
      </c>
      <c r="E209" s="5" t="s">
        <v>235</v>
      </c>
      <c r="F209" s="4" t="str">
        <f>IFERROR(__xludf.DUMMYFUNCTION("IFERROR(INDEX(SPLIT(D209, ""_""), 5),"""")"),"Normal")</f>
        <v>Normal</v>
      </c>
      <c r="G209" s="4" t="str">
        <f>IFERROR(__xludf.DUMMYFUNCTION("IFERROR(INDEX(SPLIT(D193, ""_""), 6),"""")"),"MixDown")</f>
        <v>MixDown</v>
      </c>
      <c r="H209" s="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" t="s">
        <v>8</v>
      </c>
      <c r="B210" s="2" t="str">
        <f>IFERROR(__xludf.DUMMYFUNCTION("IFERROR(INDEX(SPLIT(D210, ""_""), 3),"""")"),"AERORckt")</f>
        <v>AERORckt</v>
      </c>
      <c r="C210" s="6" t="str">
        <f>IFERROR(__xludf.DUMMYFUNCTION("IFERROR(REGEXEXTRACT(D210, ""TII.*""), """")"),"TII_AERORckt_RocketEngineFire_Loop.wav")</f>
        <v>TII_AERORckt_RocketEngineFire_Loop.wav</v>
      </c>
      <c r="D210" s="7" t="s">
        <v>262</v>
      </c>
      <c r="E210" s="8" t="s">
        <v>263</v>
      </c>
      <c r="F210" s="9" t="str">
        <f>IFERROR(__xludf.DUMMYFUNCTION("IFERROR(INDEX(SPLIT(D210, ""_""), 5),"""")"),"Loop.wav")</f>
        <v>Loop.wav</v>
      </c>
      <c r="G210" s="6" t="str">
        <f>IFERROR(__xludf.DUMMYFUNCTION("IFERROR(INDEX(SPLIT(D210, ""_""), 6),"""")"),"")</f>
        <v/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" t="s">
        <v>8</v>
      </c>
      <c r="B211" s="2" t="str">
        <f>IFERROR(__xludf.DUMMYFUNCTION("IFERROR(INDEX(SPLIT(D211, ""_""), 3),"""")"),"AERORckt")</f>
        <v>AERORckt</v>
      </c>
      <c r="C211" s="6" t="str">
        <f>IFERROR(__xludf.DUMMYFUNCTION("IFERROR(REGEXEXTRACT(D211, ""TII.*""), """")"),"TII_AERORckt_RocketLaunch_Dynamic.wav")</f>
        <v>TII_AERORckt_RocketLaunch_Dynamic.wav</v>
      </c>
      <c r="D211" s="7" t="s">
        <v>264</v>
      </c>
      <c r="E211" s="8" t="s">
        <v>263</v>
      </c>
      <c r="F211" s="9" t="str">
        <f>IFERROR(__xludf.DUMMYFUNCTION("IFERROR(INDEX(SPLIT(D211, ""_""), 5),"""")"),"Dynamic.wav")</f>
        <v>Dynamic.wav</v>
      </c>
      <c r="G211" s="6" t="str">
        <f>IFERROR(__xludf.DUMMYFUNCTION("IFERROR(INDEX(SPLIT(D211, ""_""), 6),"""")"),"")</f>
        <v/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"/>
      <c r="B212" s="2" t="str">
        <f>IFERROR(__xludf.DUMMYFUNCTION("IFERROR(INDEX(SPLIT(D212, ""_""), 3),"""")"),"")</f>
        <v/>
      </c>
      <c r="C212" s="6" t="str">
        <f>IFERROR(__xludf.DUMMYFUNCTION("IFERROR(REGEXEXTRACT(D212, ""TII.*""), """")"),"")</f>
        <v/>
      </c>
      <c r="D212" s="6"/>
      <c r="E212" s="6"/>
      <c r="F212" s="9" t="str">
        <f>IFERROR(__xludf.DUMMYFUNCTION("IFERROR(INDEX(SPLIT(D212, ""_""), 5),"""")"),"")</f>
        <v/>
      </c>
      <c r="G212" s="6" t="str">
        <f>IFERROR(__xludf.DUMMYFUNCTION("IFERROR(INDEX(SPLIT(D212, ""_""), 6),"""")"),"")</f>
        <v/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"/>
      <c r="B213" s="2" t="str">
        <f>IFERROR(__xludf.DUMMYFUNCTION("IFERROR(INDEX(SPLIT(D213, ""_""), 3),"""")"),"")</f>
        <v/>
      </c>
      <c r="C213" s="6" t="str">
        <f>IFERROR(__xludf.DUMMYFUNCTION("IFERROR(REGEXEXTRACT(D213, ""TII.*""), """")"),"")</f>
        <v/>
      </c>
      <c r="D213" s="6"/>
      <c r="E213" s="6"/>
      <c r="F213" s="9" t="str">
        <f>IFERROR(__xludf.DUMMYFUNCTION("IFERROR(INDEX(SPLIT(D213, ""_""), 5),"""")"),"")</f>
        <v/>
      </c>
      <c r="G213" s="6" t="str">
        <f>IFERROR(__xludf.DUMMYFUNCTION("IFERROR(INDEX(SPLIT(D213, ""_""), 6),"""")"),"")</f>
        <v/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"/>
      <c r="B214" s="2" t="str">
        <f>IFERROR(__xludf.DUMMYFUNCTION("IFERROR(INDEX(SPLIT(D214, ""_""), 3),"""")"),"")</f>
        <v/>
      </c>
      <c r="C214" s="6" t="str">
        <f>IFERROR(__xludf.DUMMYFUNCTION("IFERROR(REGEXEXTRACT(D214, ""TII.*""), """")"),"")</f>
        <v/>
      </c>
      <c r="D214" s="6"/>
      <c r="E214" s="6"/>
      <c r="F214" s="9" t="str">
        <f>IFERROR(__xludf.DUMMYFUNCTION("IFERROR(INDEX(SPLIT(D214, ""_""), 5),"""")"),"")</f>
        <v/>
      </c>
      <c r="G214" s="6" t="str">
        <f>IFERROR(__xludf.DUMMYFUNCTION("IFERROR(INDEX(SPLIT(D214, ""_""), 6),"""")"),"")</f>
        <v/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"/>
      <c r="B215" s="2" t="str">
        <f>IFERROR(__xludf.DUMMYFUNCTION("IFERROR(INDEX(SPLIT(D215, ""_""), 3),"""")"),"")</f>
        <v/>
      </c>
      <c r="C215" s="6" t="str">
        <f>IFERROR(__xludf.DUMMYFUNCTION("IFERROR(REGEXEXTRACT(D215, ""TII.*""), """")"),"")</f>
        <v/>
      </c>
      <c r="D215" s="6"/>
      <c r="E215" s="6"/>
      <c r="F215" s="9" t="str">
        <f>IFERROR(__xludf.DUMMYFUNCTION("IFERROR(INDEX(SPLIT(D215, ""_""), 5),"""")"),"")</f>
        <v/>
      </c>
      <c r="G215" s="6" t="str">
        <f>IFERROR(__xludf.DUMMYFUNCTION("IFERROR(INDEX(SPLIT(D215, ""_""), 6),"""")"),"")</f>
        <v/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"/>
      <c r="B216" s="2" t="str">
        <f>IFERROR(__xludf.DUMMYFUNCTION("IFERROR(INDEX(SPLIT(D216, ""_""), 3),"""")"),"")</f>
        <v/>
      </c>
      <c r="C216" s="6" t="str">
        <f>IFERROR(__xludf.DUMMYFUNCTION("IFERROR(REGEXEXTRACT(D216, ""TII.*""), """")"),"")</f>
        <v/>
      </c>
      <c r="D216" s="6"/>
      <c r="E216" s="6"/>
      <c r="F216" s="9" t="str">
        <f>IFERROR(__xludf.DUMMYFUNCTION("IFERROR(INDEX(SPLIT(D216, ""_""), 5),"""")"),"")</f>
        <v/>
      </c>
      <c r="G216" s="6" t="str">
        <f>IFERROR(__xludf.DUMMYFUNCTION("IFERROR(INDEX(SPLIT(D216, ""_""), 6),"""")"),"")</f>
        <v/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"/>
      <c r="B217" s="2" t="str">
        <f>IFERROR(__xludf.DUMMYFUNCTION("IFERROR(INDEX(SPLIT(D217, ""_""), 3),"""")"),"")</f>
        <v/>
      </c>
      <c r="C217" s="6" t="str">
        <f>IFERROR(__xludf.DUMMYFUNCTION("IFERROR(REGEXEXTRACT(D217, ""TII.*""), """")"),"")</f>
        <v/>
      </c>
      <c r="D217" s="6"/>
      <c r="E217" s="6"/>
      <c r="F217" s="9" t="str">
        <f>IFERROR(__xludf.DUMMYFUNCTION("IFERROR(INDEX(SPLIT(D217, ""_""), 5),"""")"),"")</f>
        <v/>
      </c>
      <c r="G217" s="6" t="str">
        <f>IFERROR(__xludf.DUMMYFUNCTION("IFERROR(INDEX(SPLIT(D217, ""_""), 6),"""")"),"")</f>
        <v/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"/>
      <c r="B218" s="2" t="str">
        <f>IFERROR(__xludf.DUMMYFUNCTION("IFERROR(INDEX(SPLIT(D218, ""_""), 3),"""")"),"")</f>
        <v/>
      </c>
      <c r="C218" s="6" t="str">
        <f>IFERROR(__xludf.DUMMYFUNCTION("IFERROR(REGEXEXTRACT(D218, ""TII.*""), """")"),"")</f>
        <v/>
      </c>
      <c r="D218" s="6"/>
      <c r="E218" s="6"/>
      <c r="F218" s="9" t="str">
        <f>IFERROR(__xludf.DUMMYFUNCTION("IFERROR(INDEX(SPLIT(D218, ""_""), 5),"""")"),"")</f>
        <v/>
      </c>
      <c r="G218" s="6" t="str">
        <f>IFERROR(__xludf.DUMMYFUNCTION("IFERROR(INDEX(SPLIT(D218, ""_""), 6),"""")"),"")</f>
        <v/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"/>
      <c r="B219" s="2" t="str">
        <f>IFERROR(__xludf.DUMMYFUNCTION("IFERROR(INDEX(SPLIT(D219, ""_""), 3),"""")"),"")</f>
        <v/>
      </c>
      <c r="C219" s="6" t="str">
        <f>IFERROR(__xludf.DUMMYFUNCTION("IFERROR(REGEXEXTRACT(D219, ""TII.*""), """")"),"")</f>
        <v/>
      </c>
      <c r="D219" s="6"/>
      <c r="E219" s="6"/>
      <c r="F219" s="9" t="str">
        <f>IFERROR(__xludf.DUMMYFUNCTION("IFERROR(INDEX(SPLIT(D219, ""_""), 5),"""")"),"")</f>
        <v/>
      </c>
      <c r="G219" s="6" t="str">
        <f>IFERROR(__xludf.DUMMYFUNCTION("IFERROR(INDEX(SPLIT(D219, ""_""), 6),"""")"),"")</f>
        <v/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"/>
      <c r="B220" s="2" t="str">
        <f>IFERROR(__xludf.DUMMYFUNCTION("IFERROR(INDEX(SPLIT(D220, ""_""), 3),"""")"),"")</f>
        <v/>
      </c>
      <c r="C220" s="6" t="str">
        <f>IFERROR(__xludf.DUMMYFUNCTION("IFERROR(REGEXEXTRACT(D220, ""TII.*""), """")"),"")</f>
        <v/>
      </c>
      <c r="D220" s="6"/>
      <c r="E220" s="6"/>
      <c r="F220" s="9" t="str">
        <f>IFERROR(__xludf.DUMMYFUNCTION("IFERROR(INDEX(SPLIT(D220, ""_""), 5),"""")"),"")</f>
        <v/>
      </c>
      <c r="G220" s="6" t="str">
        <f>IFERROR(__xludf.DUMMYFUNCTION("IFERROR(INDEX(SPLIT(D220, ""_""), 6),"""")"),"")</f>
        <v/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"/>
      <c r="B221" s="2" t="str">
        <f>IFERROR(__xludf.DUMMYFUNCTION("IFERROR(INDEX(SPLIT(D221, ""_""), 3),"""")"),"")</f>
        <v/>
      </c>
      <c r="C221" s="6" t="str">
        <f>IFERROR(__xludf.DUMMYFUNCTION("IFERROR(REGEXEXTRACT(D221, ""TII.*""), """")"),"")</f>
        <v/>
      </c>
      <c r="D221" s="6"/>
      <c r="E221" s="6"/>
      <c r="F221" s="9" t="str">
        <f>IFERROR(__xludf.DUMMYFUNCTION("IFERROR(INDEX(SPLIT(D221, ""_""), 5),"""")"),"")</f>
        <v/>
      </c>
      <c r="G221" s="6" t="str">
        <f>IFERROR(__xludf.DUMMYFUNCTION("IFERROR(INDEX(SPLIT(D221, ""_""), 6),"""")"),"")</f>
        <v/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"/>
      <c r="B222" s="2" t="str">
        <f>IFERROR(__xludf.DUMMYFUNCTION("IFERROR(INDEX(SPLIT(D222, ""_""), 3),"""")"),"")</f>
        <v/>
      </c>
      <c r="C222" s="6" t="str">
        <f>IFERROR(__xludf.DUMMYFUNCTION("IFERROR(REGEXEXTRACT(D222, ""TII.*""), """")"),"")</f>
        <v/>
      </c>
      <c r="D222" s="6"/>
      <c r="E222" s="6"/>
      <c r="F222" s="9" t="str">
        <f>IFERROR(__xludf.DUMMYFUNCTION("IFERROR(INDEX(SPLIT(D222, ""_""), 5),"""")"),"")</f>
        <v/>
      </c>
      <c r="G222" s="6" t="str">
        <f>IFERROR(__xludf.DUMMYFUNCTION("IFERROR(INDEX(SPLIT(D222, ""_""), 6),"""")"),"")</f>
        <v/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"/>
      <c r="B223" s="2" t="str">
        <f>IFERROR(__xludf.DUMMYFUNCTION("IFERROR(INDEX(SPLIT(D223, ""_""), 3),"""")"),"")</f>
        <v/>
      </c>
      <c r="C223" s="6" t="str">
        <f>IFERROR(__xludf.DUMMYFUNCTION("IFERROR(REGEXEXTRACT(D223, ""TII.*""), """")"),"")</f>
        <v/>
      </c>
      <c r="D223" s="6"/>
      <c r="E223" s="6"/>
      <c r="F223" s="9" t="str">
        <f>IFERROR(__xludf.DUMMYFUNCTION("IFERROR(INDEX(SPLIT(D223, ""_""), 5),"""")"),"")</f>
        <v/>
      </c>
      <c r="G223" s="6" t="str">
        <f>IFERROR(__xludf.DUMMYFUNCTION("IFERROR(INDEX(SPLIT(D223, ""_""), 6),"""")"),"")</f>
        <v/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"/>
      <c r="B224" s="2" t="str">
        <f>IFERROR(__xludf.DUMMYFUNCTION("IFERROR(INDEX(SPLIT(D224, ""_""), 3),"""")"),"")</f>
        <v/>
      </c>
      <c r="C224" s="6" t="str">
        <f>IFERROR(__xludf.DUMMYFUNCTION("IFERROR(REGEXEXTRACT(D224, ""TII.*""), """")"),"")</f>
        <v/>
      </c>
      <c r="D224" s="6"/>
      <c r="E224" s="6"/>
      <c r="F224" s="9" t="str">
        <f>IFERROR(__xludf.DUMMYFUNCTION("IFERROR(INDEX(SPLIT(D224, ""_""), 5),"""")"),"")</f>
        <v/>
      </c>
      <c r="G224" s="6" t="str">
        <f>IFERROR(__xludf.DUMMYFUNCTION("IFERROR(INDEX(SPLIT(D224, ""_""), 6),"""")"),"")</f>
        <v/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"/>
      <c r="B225" s="2" t="str">
        <f>IFERROR(__xludf.DUMMYFUNCTION("IFERROR(INDEX(SPLIT(D225, ""_""), 3),"""")"),"")</f>
        <v/>
      </c>
      <c r="C225" s="6" t="str">
        <f>IFERROR(__xludf.DUMMYFUNCTION("IFERROR(REGEXEXTRACT(D225, ""TII.*""), """")"),"")</f>
        <v/>
      </c>
      <c r="D225" s="6"/>
      <c r="E225" s="6"/>
      <c r="F225" s="9" t="str">
        <f>IFERROR(__xludf.DUMMYFUNCTION("IFERROR(INDEX(SPLIT(D225, ""_""), 5),"""")"),"")</f>
        <v/>
      </c>
      <c r="G225" s="6" t="str">
        <f>IFERROR(__xludf.DUMMYFUNCTION("IFERROR(INDEX(SPLIT(D225, ""_""), 6),"""")"),"")</f>
        <v/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"/>
      <c r="B226" s="2" t="str">
        <f>IFERROR(__xludf.DUMMYFUNCTION("IFERROR(INDEX(SPLIT(D226, ""_""), 3),"""")"),"")</f>
        <v/>
      </c>
      <c r="C226" s="6" t="str">
        <f>IFERROR(__xludf.DUMMYFUNCTION("IFERROR(REGEXEXTRACT(D226, ""TII.*""), """")"),"")</f>
        <v/>
      </c>
      <c r="D226" s="6"/>
      <c r="E226" s="6"/>
      <c r="F226" s="9" t="str">
        <f>IFERROR(__xludf.DUMMYFUNCTION("IFERROR(INDEX(SPLIT(D226, ""_""), 5),"""")"),"")</f>
        <v/>
      </c>
      <c r="G226" s="6" t="str">
        <f>IFERROR(__xludf.DUMMYFUNCTION("IFERROR(INDEX(SPLIT(D226, ""_""), 6),"""")"),"")</f>
        <v/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"/>
      <c r="B227" s="2" t="str">
        <f>IFERROR(__xludf.DUMMYFUNCTION("IFERROR(INDEX(SPLIT(D227, ""_""), 3),"""")"),"")</f>
        <v/>
      </c>
      <c r="C227" s="6" t="str">
        <f>IFERROR(__xludf.DUMMYFUNCTION("IFERROR(REGEXEXTRACT(D227, ""TII.*""), """")"),"")</f>
        <v/>
      </c>
      <c r="D227" s="6"/>
      <c r="E227" s="6"/>
      <c r="F227" s="9" t="str">
        <f>IFERROR(__xludf.DUMMYFUNCTION("IFERROR(INDEX(SPLIT(D227, ""_""), 5),"""")"),"")</f>
        <v/>
      </c>
      <c r="G227" s="6" t="str">
        <f>IFERROR(__xludf.DUMMYFUNCTION("IFERROR(INDEX(SPLIT(D227, ""_""), 6),"""")"),"")</f>
        <v/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"/>
      <c r="B228" s="2" t="str">
        <f>IFERROR(__xludf.DUMMYFUNCTION("IFERROR(INDEX(SPLIT(D228, ""_""), 3),"""")"),"")</f>
        <v/>
      </c>
      <c r="C228" s="6" t="str">
        <f>IFERROR(__xludf.DUMMYFUNCTION("IFERROR(REGEXEXTRACT(D228, ""TII.*""), """")"),"")</f>
        <v/>
      </c>
      <c r="D228" s="6"/>
      <c r="E228" s="6"/>
      <c r="F228" s="9" t="str">
        <f>IFERROR(__xludf.DUMMYFUNCTION("IFERROR(INDEX(SPLIT(D228, ""_""), 5),"""")"),"")</f>
        <v/>
      </c>
      <c r="G228" s="6" t="str">
        <f>IFERROR(__xludf.DUMMYFUNCTION("IFERROR(INDEX(SPLIT(D228, ""_""), 6),"""")"),"")</f>
        <v/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"/>
      <c r="B229" s="2" t="str">
        <f>IFERROR(__xludf.DUMMYFUNCTION("IFERROR(INDEX(SPLIT(D229, ""_""), 3),"""")"),"")</f>
        <v/>
      </c>
      <c r="C229" s="6" t="str">
        <f>IFERROR(__xludf.DUMMYFUNCTION("IFERROR(REGEXEXTRACT(D229, ""TII.*""), """")"),"")</f>
        <v/>
      </c>
      <c r="D229" s="6"/>
      <c r="E229" s="6"/>
      <c r="F229" s="9" t="str">
        <f>IFERROR(__xludf.DUMMYFUNCTION("IFERROR(INDEX(SPLIT(D229, ""_""), 5),"""")"),"")</f>
        <v/>
      </c>
      <c r="G229" s="6" t="str">
        <f>IFERROR(__xludf.DUMMYFUNCTION("IFERROR(INDEX(SPLIT(D229, ""_""), 6),"""")"),"")</f>
        <v/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"/>
      <c r="B230" s="2" t="str">
        <f>IFERROR(__xludf.DUMMYFUNCTION("IFERROR(INDEX(SPLIT(D230, ""_""), 3),"""")"),"")</f>
        <v/>
      </c>
      <c r="C230" s="6" t="str">
        <f>IFERROR(__xludf.DUMMYFUNCTION("IFERROR(REGEXEXTRACT(D230, ""TII.*""), """")"),"")</f>
        <v/>
      </c>
      <c r="D230" s="6"/>
      <c r="E230" s="6"/>
      <c r="F230" s="9" t="str">
        <f>IFERROR(__xludf.DUMMYFUNCTION("IFERROR(INDEX(SPLIT(D230, ""_""), 5),"""")"),"")</f>
        <v/>
      </c>
      <c r="G230" s="6" t="str">
        <f>IFERROR(__xludf.DUMMYFUNCTION("IFERROR(INDEX(SPLIT(D230, ""_""), 6),"""")"),"")</f>
        <v/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"/>
      <c r="B231" s="2" t="str">
        <f>IFERROR(__xludf.DUMMYFUNCTION("IFERROR(INDEX(SPLIT(D231, ""_""), 3),"""")"),"")</f>
        <v/>
      </c>
      <c r="C231" s="6" t="str">
        <f>IFERROR(__xludf.DUMMYFUNCTION("IFERROR(REGEXEXTRACT(D231, ""TII.*""), """")"),"")</f>
        <v/>
      </c>
      <c r="D231" s="6"/>
      <c r="E231" s="6"/>
      <c r="F231" s="9" t="str">
        <f>IFERROR(__xludf.DUMMYFUNCTION("IFERROR(INDEX(SPLIT(D231, ""_""), 5),"""")"),"")</f>
        <v/>
      </c>
      <c r="G231" s="6" t="str">
        <f>IFERROR(__xludf.DUMMYFUNCTION("IFERROR(INDEX(SPLIT(D231, ""_""), 6),"""")"),"")</f>
        <v/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"/>
      <c r="B232" s="2" t="str">
        <f>IFERROR(__xludf.DUMMYFUNCTION("IFERROR(INDEX(SPLIT(D232, ""_""), 3),"""")"),"")</f>
        <v/>
      </c>
      <c r="C232" s="6" t="str">
        <f>IFERROR(__xludf.DUMMYFUNCTION("IFERROR(REGEXEXTRACT(D232, ""TII.*""), """")"),"")</f>
        <v/>
      </c>
      <c r="D232" s="6"/>
      <c r="E232" s="6"/>
      <c r="F232" s="9" t="str">
        <f>IFERROR(__xludf.DUMMYFUNCTION("IFERROR(INDEX(SPLIT(D232, ""_""), 5),"""")"),"")</f>
        <v/>
      </c>
      <c r="G232" s="6" t="str">
        <f>IFERROR(__xludf.DUMMYFUNCTION("IFERROR(INDEX(SPLIT(D232, ""_""), 6),"""")"),"")</f>
        <v/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"/>
      <c r="B233" s="2" t="str">
        <f>IFERROR(__xludf.DUMMYFUNCTION("IFERROR(INDEX(SPLIT(D233, ""_""), 3),"""")"),"")</f>
        <v/>
      </c>
      <c r="C233" s="6" t="str">
        <f>IFERROR(__xludf.DUMMYFUNCTION("IFERROR(REGEXEXTRACT(D233, ""TII.*""), """")"),"")</f>
        <v/>
      </c>
      <c r="D233" s="6"/>
      <c r="E233" s="6"/>
      <c r="F233" s="9" t="str">
        <f>IFERROR(__xludf.DUMMYFUNCTION("IFERROR(INDEX(SPLIT(D233, ""_""), 5),"""")"),"")</f>
        <v/>
      </c>
      <c r="G233" s="6" t="str">
        <f>IFERROR(__xludf.DUMMYFUNCTION("IFERROR(INDEX(SPLIT(D233, ""_""), 6),"""")"),"")</f>
        <v/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"/>
      <c r="B234" s="2" t="str">
        <f>IFERROR(__xludf.DUMMYFUNCTION("IFERROR(INDEX(SPLIT(D234, ""_""), 3),"""")"),"")</f>
        <v/>
      </c>
      <c r="C234" s="6" t="str">
        <f>IFERROR(__xludf.DUMMYFUNCTION("IFERROR(REGEXEXTRACT(D234, ""TII.*""), """")"),"")</f>
        <v/>
      </c>
      <c r="D234" s="6"/>
      <c r="E234" s="6"/>
      <c r="F234" s="9" t="str">
        <f>IFERROR(__xludf.DUMMYFUNCTION("IFERROR(INDEX(SPLIT(D234, ""_""), 5),"""")"),"")</f>
        <v/>
      </c>
      <c r="G234" s="6" t="str">
        <f>IFERROR(__xludf.DUMMYFUNCTION("IFERROR(INDEX(SPLIT(D234, ""_""), 6),"""")"),"")</f>
        <v/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"/>
      <c r="B235" s="2" t="str">
        <f>IFERROR(__xludf.DUMMYFUNCTION("IFERROR(INDEX(SPLIT(D235, ""_""), 3),"""")"),"")</f>
        <v/>
      </c>
      <c r="C235" s="6" t="str">
        <f>IFERROR(__xludf.DUMMYFUNCTION("IFERROR(REGEXEXTRACT(D235, ""TII.*""), """")"),"")</f>
        <v/>
      </c>
      <c r="D235" s="6"/>
      <c r="E235" s="6"/>
      <c r="F235" s="9" t="str">
        <f>IFERROR(__xludf.DUMMYFUNCTION("IFERROR(INDEX(SPLIT(D235, ""_""), 5),"""")"),"")</f>
        <v/>
      </c>
      <c r="G235" s="6" t="str">
        <f>IFERROR(__xludf.DUMMYFUNCTION("IFERROR(INDEX(SPLIT(D235, ""_""), 6),"""")"),"")</f>
        <v/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"/>
      <c r="B236" s="2" t="str">
        <f>IFERROR(__xludf.DUMMYFUNCTION("IFERROR(INDEX(SPLIT(D236, ""_""), 3),"""")"),"")</f>
        <v/>
      </c>
      <c r="C236" s="6" t="str">
        <f>IFERROR(__xludf.DUMMYFUNCTION("IFERROR(REGEXEXTRACT(D236, ""TII.*""), """")"),"")</f>
        <v/>
      </c>
      <c r="D236" s="6"/>
      <c r="E236" s="6"/>
      <c r="F236" s="9" t="str">
        <f>IFERROR(__xludf.DUMMYFUNCTION("IFERROR(INDEX(SPLIT(D236, ""_""), 4),"""")"),"")</f>
        <v/>
      </c>
      <c r="G236" s="6" t="str">
        <f>IFERROR(__xludf.DUMMYFUNCTION("IFERROR(INDEX(SPLIT(D236, ""_""), 6),"""")"),"")</f>
        <v/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"/>
      <c r="B237" s="2" t="str">
        <f>IFERROR(__xludf.DUMMYFUNCTION("IFERROR(INDEX(SPLIT(D237, ""_""), 3),"""")"),"")</f>
        <v/>
      </c>
      <c r="C237" s="6" t="str">
        <f>IFERROR(__xludf.DUMMYFUNCTION("IFERROR(REGEXEXTRACT(D237, ""TII.*""), """")"),"")</f>
        <v/>
      </c>
      <c r="D237" s="6"/>
      <c r="E237" s="6"/>
      <c r="F237" s="9" t="str">
        <f>IFERROR(__xludf.DUMMYFUNCTION("IFERROR(INDEX(SPLIT(D237, ""_""), 4),"""")"),"")</f>
        <v/>
      </c>
      <c r="G237" s="6" t="str">
        <f>IFERROR(__xludf.DUMMYFUNCTION("IFERROR(INDEX(SPLIT(D237, ""_""), 6),"""")"),"")</f>
        <v/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"/>
      <c r="B238" s="2" t="str">
        <f>IFERROR(__xludf.DUMMYFUNCTION("IFERROR(INDEX(SPLIT(D238, ""_""), 3),"""")"),"")</f>
        <v/>
      </c>
      <c r="C238" s="6" t="str">
        <f>IFERROR(__xludf.DUMMYFUNCTION("IFERROR(REGEXEXTRACT(D238, ""TII.*""), """")"),"")</f>
        <v/>
      </c>
      <c r="D238" s="6"/>
      <c r="E238" s="6"/>
      <c r="F238" s="9" t="str">
        <f>IFERROR(__xludf.DUMMYFUNCTION("IFERROR(INDEX(SPLIT(D238, ""_""), 4),"""")"),"")</f>
        <v/>
      </c>
      <c r="G238" s="6" t="str">
        <f>IFERROR(__xludf.DUMMYFUNCTION("IFERROR(INDEX(SPLIT(D238, ""_""), 6),"""")"),"")</f>
        <v/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"/>
      <c r="B239" s="2" t="str">
        <f>IFERROR(__xludf.DUMMYFUNCTION("IFERROR(INDEX(SPLIT(D239, ""_""), 3),"""")"),"")</f>
        <v/>
      </c>
      <c r="C239" s="6" t="str">
        <f>IFERROR(__xludf.DUMMYFUNCTION("IFERROR(REGEXEXTRACT(D239, ""TII.*""), """")"),"")</f>
        <v/>
      </c>
      <c r="D239" s="6"/>
      <c r="E239" s="6"/>
      <c r="F239" s="9" t="str">
        <f>IFERROR(__xludf.DUMMYFUNCTION("IFERROR(INDEX(SPLIT(D239, ""_""), 4),"""")"),"")</f>
        <v/>
      </c>
      <c r="G239" s="6" t="str">
        <f>IFERROR(__xludf.DUMMYFUNCTION("IFERROR(INDEX(SPLIT(D239, ""_""), 6),"""")"),"")</f>
        <v/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"/>
      <c r="B240" s="2" t="str">
        <f>IFERROR(__xludf.DUMMYFUNCTION("IFERROR(INDEX(SPLIT(D240, ""_""), 3),"""")"),"")</f>
        <v/>
      </c>
      <c r="C240" s="6" t="str">
        <f>IFERROR(__xludf.DUMMYFUNCTION("IFERROR(REGEXEXTRACT(D240, ""TII.*""), """")"),"")</f>
        <v/>
      </c>
      <c r="D240" s="6"/>
      <c r="E240" s="6"/>
      <c r="F240" s="9" t="str">
        <f>IFERROR(__xludf.DUMMYFUNCTION("IFERROR(INDEX(SPLIT(D240, ""_""), 4),"""")"),"")</f>
        <v/>
      </c>
      <c r="G240" s="6" t="str">
        <f>IFERROR(__xludf.DUMMYFUNCTION("IFERROR(INDEX(SPLIT(D240, ""_""), 6),"""")"),"")</f>
        <v/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"/>
      <c r="B241" s="2" t="str">
        <f>IFERROR(__xludf.DUMMYFUNCTION("IFERROR(INDEX(SPLIT(D241, ""_""), 3),"""")"),"")</f>
        <v/>
      </c>
      <c r="C241" s="6" t="str">
        <f>IFERROR(__xludf.DUMMYFUNCTION("IFERROR(REGEXEXTRACT(D241, ""TII.*""), """")"),"")</f>
        <v/>
      </c>
      <c r="D241" s="6"/>
      <c r="E241" s="6"/>
      <c r="F241" s="9" t="str">
        <f>IFERROR(__xludf.DUMMYFUNCTION("IFERROR(INDEX(SPLIT(D241, ""_""), 4),"""")"),"")</f>
        <v/>
      </c>
      <c r="G241" s="6" t="str">
        <f>IFERROR(__xludf.DUMMYFUNCTION("IFERROR(INDEX(SPLIT(D241, ""_""), 6),"""")"),"")</f>
        <v/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"/>
      <c r="B242" s="2" t="str">
        <f>IFERROR(__xludf.DUMMYFUNCTION("IFERROR(INDEX(SPLIT(D242, ""_""), 3),"""")"),"")</f>
        <v/>
      </c>
      <c r="C242" s="6" t="str">
        <f>IFERROR(__xludf.DUMMYFUNCTION("IFERROR(REGEXEXTRACT(D242, ""TII.*""), """")"),"")</f>
        <v/>
      </c>
      <c r="D242" s="6"/>
      <c r="E242" s="6"/>
      <c r="F242" s="9" t="str">
        <f>IFERROR(__xludf.DUMMYFUNCTION("IFERROR(INDEX(SPLIT(D242, ""_""), 4),"""")"),"")</f>
        <v/>
      </c>
      <c r="G242" s="6" t="str">
        <f>IFERROR(__xludf.DUMMYFUNCTION("IFERROR(INDEX(SPLIT(D242, ""_""), 6),"""")"),"")</f>
        <v/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"/>
      <c r="B243" s="2" t="str">
        <f>IFERROR(__xludf.DUMMYFUNCTION("IFERROR(INDEX(SPLIT(D243, ""_""), 3),"""")"),"")</f>
        <v/>
      </c>
      <c r="C243" s="6" t="str">
        <f>IFERROR(__xludf.DUMMYFUNCTION("IFERROR(REGEXEXTRACT(D243, ""TII.*""), """")"),"")</f>
        <v/>
      </c>
      <c r="D243" s="6"/>
      <c r="E243" s="6"/>
      <c r="F243" s="9" t="str">
        <f>IFERROR(__xludf.DUMMYFUNCTION("IFERROR(INDEX(SPLIT(D243, ""_""), 4),"""")"),"")</f>
        <v/>
      </c>
      <c r="G243" s="6" t="str">
        <f>IFERROR(__xludf.DUMMYFUNCTION("IFERROR(INDEX(SPLIT(D243, ""_""), 6),"""")"),"")</f>
        <v/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"/>
      <c r="B244" s="2" t="str">
        <f>IFERROR(__xludf.DUMMYFUNCTION("IFERROR(INDEX(SPLIT(D244, ""_""), 3),"""")"),"")</f>
        <v/>
      </c>
      <c r="C244" s="6" t="str">
        <f>IFERROR(__xludf.DUMMYFUNCTION("IFERROR(REGEXEXTRACT(D244, ""TII.*""), """")"),"")</f>
        <v/>
      </c>
      <c r="D244" s="6"/>
      <c r="E244" s="6"/>
      <c r="F244" s="9" t="str">
        <f>IFERROR(__xludf.DUMMYFUNCTION("IFERROR(INDEX(SPLIT(D244, ""_""), 4),"""")"),"")</f>
        <v/>
      </c>
      <c r="G244" s="6" t="str">
        <f>IFERROR(__xludf.DUMMYFUNCTION("IFERROR(INDEX(SPLIT(D244, ""_""), 6),"""")"),"")</f>
        <v/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"/>
      <c r="B245" s="2" t="str">
        <f>IFERROR(__xludf.DUMMYFUNCTION("IFERROR(INDEX(SPLIT(D245, ""_""), 3),"""")"),"")</f>
        <v/>
      </c>
      <c r="C245" s="6" t="str">
        <f>IFERROR(__xludf.DUMMYFUNCTION("IFERROR(REGEXEXTRACT(D245, ""TII.*""), """")"),"")</f>
        <v/>
      </c>
      <c r="D245" s="6"/>
      <c r="E245" s="6"/>
      <c r="F245" s="9" t="str">
        <f>IFERROR(__xludf.DUMMYFUNCTION("IFERROR(INDEX(SPLIT(D245, ""_""), 4),"""")"),"")</f>
        <v/>
      </c>
      <c r="G245" s="6" t="str">
        <f>IFERROR(__xludf.DUMMYFUNCTION("IFERROR(INDEX(SPLIT(D245, ""_""), 6),"""")"),"")</f>
        <v/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"/>
      <c r="B246" s="2" t="str">
        <f>IFERROR(__xludf.DUMMYFUNCTION("IFERROR(INDEX(SPLIT(D246, ""_""), 3),"""")"),"")</f>
        <v/>
      </c>
      <c r="C246" s="6" t="str">
        <f>IFERROR(__xludf.DUMMYFUNCTION("IFERROR(REGEXEXTRACT(D246, ""TII.*""), """")"),"")</f>
        <v/>
      </c>
      <c r="D246" s="6"/>
      <c r="E246" s="6"/>
      <c r="F246" s="9" t="str">
        <f>IFERROR(__xludf.DUMMYFUNCTION("IFERROR(INDEX(SPLIT(D246, ""_""), 4),"""")"),"")</f>
        <v/>
      </c>
      <c r="G246" s="6" t="str">
        <f>IFERROR(__xludf.DUMMYFUNCTION("IFERROR(INDEX(SPLIT(D246, ""_""), 6),"""")"),"")</f>
        <v/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"/>
      <c r="B247" s="2" t="str">
        <f>IFERROR(__xludf.DUMMYFUNCTION("IFERROR(INDEX(SPLIT(D247, ""_""), 3),"""")"),"")</f>
        <v/>
      </c>
      <c r="C247" s="6" t="str">
        <f>IFERROR(__xludf.DUMMYFUNCTION("IFERROR(REGEXEXTRACT(D247, ""TII.*""), """")"),"")</f>
        <v/>
      </c>
      <c r="D247" s="6"/>
      <c r="E247" s="6"/>
      <c r="F247" s="9" t="str">
        <f>IFERROR(__xludf.DUMMYFUNCTION("IFERROR(INDEX(SPLIT(D247, ""_""), 4),"""")"),"")</f>
        <v/>
      </c>
      <c r="G247" s="6" t="str">
        <f>IFERROR(__xludf.DUMMYFUNCTION("IFERROR(INDEX(SPLIT(D247, ""_""), 6),"""")"),"")</f>
        <v/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"/>
      <c r="B248" s="2" t="str">
        <f>IFERROR(__xludf.DUMMYFUNCTION("IFERROR(INDEX(SPLIT(D248, ""_""), 3),"""")"),"")</f>
        <v/>
      </c>
      <c r="C248" s="6" t="str">
        <f>IFERROR(__xludf.DUMMYFUNCTION("IFERROR(REGEXEXTRACT(D248, ""TII.*""), """")"),"")</f>
        <v/>
      </c>
      <c r="D248" s="6"/>
      <c r="E248" s="6"/>
      <c r="F248" s="9" t="str">
        <f>IFERROR(__xludf.DUMMYFUNCTION("IFERROR(INDEX(SPLIT(D248, ""_""), 4),"""")"),"")</f>
        <v/>
      </c>
      <c r="G248" s="6" t="str">
        <f>IFERROR(__xludf.DUMMYFUNCTION("IFERROR(INDEX(SPLIT(D248, ""_""), 6),"""")"),"")</f>
        <v/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"/>
      <c r="B249" s="2" t="str">
        <f>IFERROR(__xludf.DUMMYFUNCTION("IFERROR(INDEX(SPLIT(D249, ""_""), 3),"""")"),"")</f>
        <v/>
      </c>
      <c r="C249" s="6" t="str">
        <f>IFERROR(__xludf.DUMMYFUNCTION("IFERROR(REGEXEXTRACT(D249, ""TII.*""), """")"),"")</f>
        <v/>
      </c>
      <c r="D249" s="6"/>
      <c r="E249" s="6"/>
      <c r="F249" s="9" t="str">
        <f>IFERROR(__xludf.DUMMYFUNCTION("IFERROR(INDEX(SPLIT(D249, ""_""), 4),"""")"),"")</f>
        <v/>
      </c>
      <c r="G249" s="6" t="str">
        <f>IFERROR(__xludf.DUMMYFUNCTION("IFERROR(INDEX(SPLIT(D249, ""_""), 6),"""")"),"")</f>
        <v/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"/>
      <c r="B250" s="2" t="str">
        <f>IFERROR(__xludf.DUMMYFUNCTION("IFERROR(INDEX(SPLIT(D250, ""_""), 3),"""")"),"")</f>
        <v/>
      </c>
      <c r="C250" s="6" t="str">
        <f>IFERROR(__xludf.DUMMYFUNCTION("IFERROR(REGEXEXTRACT(D250, ""TII.*""), """")"),"")</f>
        <v/>
      </c>
      <c r="D250" s="6"/>
      <c r="E250" s="6"/>
      <c r="F250" s="9" t="str">
        <f>IFERROR(__xludf.DUMMYFUNCTION("IFERROR(INDEX(SPLIT(D250, ""_""), 4),"""")"),"")</f>
        <v/>
      </c>
      <c r="G250" s="6" t="str">
        <f>IFERROR(__xludf.DUMMYFUNCTION("IFERROR(INDEX(SPLIT(D250, ""_""), 6),"""")"),"")</f>
        <v/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"/>
      <c r="B251" s="2" t="str">
        <f>IFERROR(__xludf.DUMMYFUNCTION("IFERROR(INDEX(SPLIT(D251, ""_""), 3),"""")"),"")</f>
        <v/>
      </c>
      <c r="C251" s="6" t="str">
        <f>IFERROR(__xludf.DUMMYFUNCTION("IFERROR(REGEXEXTRACT(D251, ""TII.*""), """")"),"")</f>
        <v/>
      </c>
      <c r="D251" s="6"/>
      <c r="E251" s="6"/>
      <c r="F251" s="9" t="str">
        <f>IFERROR(__xludf.DUMMYFUNCTION("IFERROR(INDEX(SPLIT(D251, ""_""), 4),"""")"),"")</f>
        <v/>
      </c>
      <c r="G251" s="6" t="str">
        <f>IFERROR(__xludf.DUMMYFUNCTION("IFERROR(INDEX(SPLIT(D251, ""_""), 6),"""")"),"")</f>
        <v/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"/>
      <c r="B252" s="2" t="str">
        <f>IFERROR(__xludf.DUMMYFUNCTION("IFERROR(INDEX(SPLIT(D252, ""_""), 3),"""")"),"")</f>
        <v/>
      </c>
      <c r="C252" s="6" t="str">
        <f>IFERROR(__xludf.DUMMYFUNCTION("IFERROR(REGEXEXTRACT(D252, ""TII.*""), """")"),"")</f>
        <v/>
      </c>
      <c r="D252" s="6"/>
      <c r="E252" s="6"/>
      <c r="F252" s="9" t="str">
        <f>IFERROR(__xludf.DUMMYFUNCTION("IFERROR(INDEX(SPLIT(D252, ""_""), 4),"""")"),"")</f>
        <v/>
      </c>
      <c r="G252" s="6" t="str">
        <f>IFERROR(__xludf.DUMMYFUNCTION("IFERROR(INDEX(SPLIT(D252, ""_""), 6),"""")"),"")</f>
        <v/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"/>
      <c r="B253" s="2" t="str">
        <f>IFERROR(__xludf.DUMMYFUNCTION("IFERROR(INDEX(SPLIT(D253, ""_""), 3),"""")"),"")</f>
        <v/>
      </c>
      <c r="C253" s="6" t="str">
        <f>IFERROR(__xludf.DUMMYFUNCTION("IFERROR(REGEXEXTRACT(D253, ""TII.*""), """")"),"")</f>
        <v/>
      </c>
      <c r="D253" s="6"/>
      <c r="E253" s="6"/>
      <c r="F253" s="9" t="str">
        <f>IFERROR(__xludf.DUMMYFUNCTION("IFERROR(INDEX(SPLIT(D253, ""_""), 4),"""")"),"")</f>
        <v/>
      </c>
      <c r="G253" s="6" t="str">
        <f>IFERROR(__xludf.DUMMYFUNCTION("IFERROR(INDEX(SPLIT(D253, ""_""), 6),"""")"),"")</f>
        <v/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"/>
      <c r="B254" s="2" t="str">
        <f>IFERROR(__xludf.DUMMYFUNCTION("IFERROR(INDEX(SPLIT(D254, ""_""), 3),"""")"),"")</f>
        <v/>
      </c>
      <c r="C254" s="6" t="str">
        <f>IFERROR(__xludf.DUMMYFUNCTION("IFERROR(REGEXEXTRACT(D254, ""TII.*""), """")"),"")</f>
        <v/>
      </c>
      <c r="D254" s="6"/>
      <c r="E254" s="6"/>
      <c r="F254" s="9" t="str">
        <f>IFERROR(__xludf.DUMMYFUNCTION("IFERROR(INDEX(SPLIT(D254, ""_""), 4),"""")"),"")</f>
        <v/>
      </c>
      <c r="G254" s="6" t="str">
        <f>IFERROR(__xludf.DUMMYFUNCTION("IFERROR(INDEX(SPLIT(D254, ""_""), 6),"""")"),"")</f>
        <v/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"/>
      <c r="B255" s="2" t="str">
        <f>IFERROR(__xludf.DUMMYFUNCTION("IFERROR(INDEX(SPLIT(D255, ""_""), 3),"""")"),"")</f>
        <v/>
      </c>
      <c r="C255" s="6" t="str">
        <f>IFERROR(__xludf.DUMMYFUNCTION("IFERROR(REGEXEXTRACT(D255, ""TII.*""), """")"),"")</f>
        <v/>
      </c>
      <c r="D255" s="6"/>
      <c r="E255" s="6"/>
      <c r="F255" s="9" t="str">
        <f>IFERROR(__xludf.DUMMYFUNCTION("IFERROR(INDEX(SPLIT(D255, ""_""), 4),"""")"),"")</f>
        <v/>
      </c>
      <c r="G255" s="6" t="str">
        <f>IFERROR(__xludf.DUMMYFUNCTION("IFERROR(INDEX(SPLIT(D255, ""_""), 6),"""")"),"")</f>
        <v/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"/>
      <c r="B256" s="2" t="str">
        <f>IFERROR(__xludf.DUMMYFUNCTION("IFERROR(INDEX(SPLIT(D256, ""_""), 3),"""")"),"")</f>
        <v/>
      </c>
      <c r="C256" s="6" t="str">
        <f>IFERROR(__xludf.DUMMYFUNCTION("IFERROR(REGEXEXTRACT(D256, ""TII.*""), """")"),"")</f>
        <v/>
      </c>
      <c r="D256" s="6"/>
      <c r="E256" s="6"/>
      <c r="F256" s="6" t="str">
        <f>IFERROR(__xludf.DUMMYFUNCTION("IFERROR(INDEX(SPLIT(D256, ""_""), 4),"""")"),"")</f>
        <v/>
      </c>
      <c r="G256" s="6" t="str">
        <f>IFERROR(__xludf.DUMMYFUNCTION("IFERROR(INDEX(SPLIT(D256, ""_""), 6),"""")"),"")</f>
        <v/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"/>
      <c r="B257" s="2" t="str">
        <f>IFERROR(__xludf.DUMMYFUNCTION("IFERROR(INDEX(SPLIT(D257, ""_""), 3),"""")"),"")</f>
        <v/>
      </c>
      <c r="C257" s="6" t="str">
        <f>IFERROR(__xludf.DUMMYFUNCTION("IFERROR(REGEXEXTRACT(D257, ""TII.*""), """")"),"")</f>
        <v/>
      </c>
      <c r="D257" s="6"/>
      <c r="E257" s="6"/>
      <c r="F257" s="6" t="str">
        <f>IFERROR(__xludf.DUMMYFUNCTION("IFERROR(INDEX(SPLIT(D257, ""_""), 4),"""")"),"")</f>
        <v/>
      </c>
      <c r="G257" s="6" t="str">
        <f>IFERROR(__xludf.DUMMYFUNCTION("IFERROR(INDEX(SPLIT(D257, ""_""), 6),"""")"),"")</f>
        <v/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"/>
      <c r="B258" s="2" t="str">
        <f>IFERROR(__xludf.DUMMYFUNCTION("IFERROR(INDEX(SPLIT(D258, ""_""), 3),"""")"),"")</f>
        <v/>
      </c>
      <c r="C258" s="6" t="str">
        <f>IFERROR(__xludf.DUMMYFUNCTION("IFERROR(REGEXEXTRACT(D258, ""TII.*""), """")"),"")</f>
        <v/>
      </c>
      <c r="D258" s="6"/>
      <c r="E258" s="6"/>
      <c r="F258" s="6" t="str">
        <f>IFERROR(__xludf.DUMMYFUNCTION("IFERROR(INDEX(SPLIT(D258, ""_""), 4),"""")"),"")</f>
        <v/>
      </c>
      <c r="G258" s="6" t="str">
        <f>IFERROR(__xludf.DUMMYFUNCTION("IFERROR(INDEX(SPLIT(D258, ""_""), 6),"""")"),"")</f>
        <v/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"/>
      <c r="B259" s="2" t="str">
        <f>IFERROR(__xludf.DUMMYFUNCTION("IFERROR(INDEX(SPLIT(D259, ""_""), 3),"""")"),"")</f>
        <v/>
      </c>
      <c r="C259" s="6" t="str">
        <f>IFERROR(__xludf.DUMMYFUNCTION("IFERROR(REGEXEXTRACT(D259, ""TII.*""), """")"),"")</f>
        <v/>
      </c>
      <c r="D259" s="6"/>
      <c r="E259" s="6"/>
      <c r="F259" s="6" t="str">
        <f>IFERROR(__xludf.DUMMYFUNCTION("IFERROR(INDEX(SPLIT(D259, ""_""), 4),"""")"),"")</f>
        <v/>
      </c>
      <c r="G259" s="6" t="str">
        <f>IFERROR(__xludf.DUMMYFUNCTION("IFERROR(INDEX(SPLIT(D259, ""_""), 6),"""")"),"")</f>
        <v/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"/>
      <c r="B260" s="2" t="str">
        <f>IFERROR(__xludf.DUMMYFUNCTION("IFERROR(INDEX(SPLIT(D260, ""_""), 3),"""")"),"")</f>
        <v/>
      </c>
      <c r="C260" s="6" t="str">
        <f>IFERROR(__xludf.DUMMYFUNCTION("IFERROR(REGEXEXTRACT(D260, ""TII.*""), """")"),"")</f>
        <v/>
      </c>
      <c r="D260" s="6"/>
      <c r="E260" s="6"/>
      <c r="F260" s="6" t="str">
        <f>IFERROR(__xludf.DUMMYFUNCTION("IFERROR(INDEX(SPLIT(D260, ""_""), 4),"""")"),"")</f>
        <v/>
      </c>
      <c r="G260" s="6" t="str">
        <f>IFERROR(__xludf.DUMMYFUNCTION("IFERROR(INDEX(SPLIT(D260, ""_""), 6),"""")"),"")</f>
        <v/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"/>
      <c r="B261" s="2" t="str">
        <f>IFERROR(__xludf.DUMMYFUNCTION("IFERROR(INDEX(SPLIT(D261, ""_""), 3),"""")"),"")</f>
        <v/>
      </c>
      <c r="C261" s="6" t="str">
        <f>IFERROR(__xludf.DUMMYFUNCTION("IFERROR(REGEXEXTRACT(D261, ""TII.*""), """")"),"")</f>
        <v/>
      </c>
      <c r="D261" s="6"/>
      <c r="E261" s="6"/>
      <c r="F261" s="6" t="str">
        <f>IFERROR(__xludf.DUMMYFUNCTION("IFERROR(INDEX(SPLIT(D261, ""_""), 4),"""")"),"")</f>
        <v/>
      </c>
      <c r="G261" s="6" t="str">
        <f>IFERROR(__xludf.DUMMYFUNCTION("IFERROR(INDEX(SPLIT(D261, ""_""), 6),"""")"),"")</f>
        <v/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"/>
      <c r="B262" s="2" t="str">
        <f>IFERROR(__xludf.DUMMYFUNCTION("IFERROR(INDEX(SPLIT(D262, ""_""), 3),"""")"),"")</f>
        <v/>
      </c>
      <c r="C262" s="6" t="str">
        <f>IFERROR(__xludf.DUMMYFUNCTION("IFERROR(REGEXEXTRACT(D262, ""TII.*""), """")"),"")</f>
        <v/>
      </c>
      <c r="D262" s="6"/>
      <c r="E262" s="6"/>
      <c r="F262" s="6" t="str">
        <f>IFERROR(__xludf.DUMMYFUNCTION("IFERROR(INDEX(SPLIT(D262, ""_""), 4),"""")"),"")</f>
        <v/>
      </c>
      <c r="G262" s="6" t="str">
        <f>IFERROR(__xludf.DUMMYFUNCTION("IFERROR(INDEX(SPLIT(D262, ""_""), 6),"""")"),"")</f>
        <v/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"/>
      <c r="B263" s="2" t="str">
        <f>IFERROR(__xludf.DUMMYFUNCTION("IFERROR(INDEX(SPLIT(D263, ""_""), 3),"""")"),"")</f>
        <v/>
      </c>
      <c r="C263" s="6" t="str">
        <f>IFERROR(__xludf.DUMMYFUNCTION("IFERROR(REGEXEXTRACT(D263, ""TII.*""), """")"),"")</f>
        <v/>
      </c>
      <c r="D263" s="6"/>
      <c r="E263" s="6"/>
      <c r="F263" s="6" t="str">
        <f>IFERROR(__xludf.DUMMYFUNCTION("IFERROR(INDEX(SPLIT(D263, ""_""), 4),"""")"),"")</f>
        <v/>
      </c>
      <c r="G263" s="6" t="str">
        <f>IFERROR(__xludf.DUMMYFUNCTION("IFERROR(INDEX(SPLIT(D263, ""_""), 6),"""")"),"")</f>
        <v/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"/>
      <c r="B264" s="2" t="str">
        <f>IFERROR(__xludf.DUMMYFUNCTION("IFERROR(INDEX(SPLIT(D264, ""_""), 3),"""")"),"")</f>
        <v/>
      </c>
      <c r="C264" s="6" t="str">
        <f>IFERROR(__xludf.DUMMYFUNCTION("IFERROR(REGEXEXTRACT(D264, ""TII.*""), """")"),"")</f>
        <v/>
      </c>
      <c r="D264" s="6"/>
      <c r="E264" s="6"/>
      <c r="F264" s="6" t="str">
        <f>IFERROR(__xludf.DUMMYFUNCTION("IFERROR(INDEX(SPLIT(D264, ""_""), 4),"""")"),"")</f>
        <v/>
      </c>
      <c r="G264" s="6" t="str">
        <f>IFERROR(__xludf.DUMMYFUNCTION("IFERROR(INDEX(SPLIT(D264, ""_""), 6),"""")"),"")</f>
        <v/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"/>
      <c r="B265" s="2" t="str">
        <f>IFERROR(__xludf.DUMMYFUNCTION("IFERROR(INDEX(SPLIT(D265, ""_""), 3),"""")"),"")</f>
        <v/>
      </c>
      <c r="C265" s="6" t="str">
        <f>IFERROR(__xludf.DUMMYFUNCTION("IFERROR(REGEXEXTRACT(D265, ""TII.*""), """")"),"")</f>
        <v/>
      </c>
      <c r="D265" s="6"/>
      <c r="E265" s="6"/>
      <c r="F265" s="6" t="str">
        <f>IFERROR(__xludf.DUMMYFUNCTION("IFERROR(INDEX(SPLIT(D265, ""_""), 4),"""")"),"")</f>
        <v/>
      </c>
      <c r="G265" s="6" t="str">
        <f>IFERROR(__xludf.DUMMYFUNCTION("IFERROR(INDEX(SPLIT(D265, ""_""), 6),"""")"),"")</f>
        <v/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"/>
      <c r="B266" s="2" t="str">
        <f>IFERROR(__xludf.DUMMYFUNCTION("IFERROR(INDEX(SPLIT(D266, ""_""), 3),"""")"),"")</f>
        <v/>
      </c>
      <c r="C266" s="6" t="str">
        <f>IFERROR(__xludf.DUMMYFUNCTION("IFERROR(REGEXEXTRACT(D266, ""TII.*""), """")"),"")</f>
        <v/>
      </c>
      <c r="D266" s="6"/>
      <c r="E266" s="6"/>
      <c r="F266" s="6" t="str">
        <f>IFERROR(__xludf.DUMMYFUNCTION("IFERROR(INDEX(SPLIT(D266, ""_""), 4),"""")"),"")</f>
        <v/>
      </c>
      <c r="G266" s="6" t="str">
        <f>IFERROR(__xludf.DUMMYFUNCTION("IFERROR(INDEX(SPLIT(D266, ""_""), 6),"""")"),"")</f>
        <v/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"/>
      <c r="B267" s="2" t="str">
        <f>IFERROR(__xludf.DUMMYFUNCTION("IFERROR(INDEX(SPLIT(D267, ""_""), 3),"""")"),"")</f>
        <v/>
      </c>
      <c r="C267" s="6" t="str">
        <f>IFERROR(__xludf.DUMMYFUNCTION("IFERROR(REGEXEXTRACT(D267, ""TII.*""), """")"),"")</f>
        <v/>
      </c>
      <c r="D267" s="6"/>
      <c r="E267" s="6"/>
      <c r="F267" s="6" t="str">
        <f>IFERROR(__xludf.DUMMYFUNCTION("IFERROR(INDEX(SPLIT(D267, ""_""), 4),"""")"),"")</f>
        <v/>
      </c>
      <c r="G267" s="6" t="str">
        <f>IFERROR(__xludf.DUMMYFUNCTION("IFERROR(INDEX(SPLIT(D267, ""_""), 6),"""")"),"")</f>
        <v/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"/>
      <c r="B268" s="2" t="str">
        <f>IFERROR(__xludf.DUMMYFUNCTION("IFERROR(INDEX(SPLIT(D268, ""_""), 3),"""")"),"")</f>
        <v/>
      </c>
      <c r="C268" s="6" t="str">
        <f>IFERROR(__xludf.DUMMYFUNCTION("IFERROR(REGEXEXTRACT(D268, ""TII.*""), """")"),"")</f>
        <v/>
      </c>
      <c r="D268" s="6"/>
      <c r="E268" s="6"/>
      <c r="F268" s="6" t="str">
        <f>IFERROR(__xludf.DUMMYFUNCTION("IFERROR(INDEX(SPLIT(D268, ""_""), 4),"""")"),"")</f>
        <v/>
      </c>
      <c r="G268" s="6" t="str">
        <f>IFERROR(__xludf.DUMMYFUNCTION("IFERROR(INDEX(SPLIT(D268, ""_""), 6),"""")"),"")</f>
        <v/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"/>
      <c r="B269" s="2" t="str">
        <f>IFERROR(__xludf.DUMMYFUNCTION("IFERROR(INDEX(SPLIT(D269, ""_""), 3),"""")"),"")</f>
        <v/>
      </c>
      <c r="C269" s="6" t="str">
        <f>IFERROR(__xludf.DUMMYFUNCTION("IFERROR(REGEXEXTRACT(D269, ""TII.*""), """")"),"")</f>
        <v/>
      </c>
      <c r="D269" s="6"/>
      <c r="E269" s="6"/>
      <c r="F269" s="6" t="str">
        <f>IFERROR(__xludf.DUMMYFUNCTION("IFERROR(INDEX(SPLIT(D269, ""_""), 4),"""")"),"")</f>
        <v/>
      </c>
      <c r="G269" s="6" t="str">
        <f>IFERROR(__xludf.DUMMYFUNCTION("IFERROR(INDEX(SPLIT(D269, ""_""), 6),"""")"),"")</f>
        <v/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"/>
      <c r="B270" s="2" t="str">
        <f>IFERROR(__xludf.DUMMYFUNCTION("IFERROR(INDEX(SPLIT(D270, ""_""), 3),"""")"),"")</f>
        <v/>
      </c>
      <c r="C270" s="6" t="str">
        <f>IFERROR(__xludf.DUMMYFUNCTION("IFERROR(REGEXEXTRACT(D270, ""TII.*""), """")"),"")</f>
        <v/>
      </c>
      <c r="D270" s="6"/>
      <c r="E270" s="6"/>
      <c r="F270" s="6" t="str">
        <f>IFERROR(__xludf.DUMMYFUNCTION("IFERROR(INDEX(SPLIT(D270, ""_""), 4),"""")"),"")</f>
        <v/>
      </c>
      <c r="G270" s="6" t="str">
        <f>IFERROR(__xludf.DUMMYFUNCTION("IFERROR(INDEX(SPLIT(D270, ""_""), 6),"""")"),"")</f>
        <v/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"/>
      <c r="B271" s="2" t="str">
        <f>IFERROR(__xludf.DUMMYFUNCTION("IFERROR(INDEX(SPLIT(D271, ""_""), 3),"""")"),"")</f>
        <v/>
      </c>
      <c r="C271" s="6" t="str">
        <f>IFERROR(__xludf.DUMMYFUNCTION("IFERROR(REGEXEXTRACT(D271, ""TII.*""), """")"),"")</f>
        <v/>
      </c>
      <c r="D271" s="6"/>
      <c r="E271" s="6"/>
      <c r="F271" s="6" t="str">
        <f>IFERROR(__xludf.DUMMYFUNCTION("IFERROR(INDEX(SPLIT(D271, ""_""), 4),"""")"),"")</f>
        <v/>
      </c>
      <c r="G271" s="6" t="str">
        <f>IFERROR(__xludf.DUMMYFUNCTION("IFERROR(INDEX(SPLIT(D271, ""_""), 6),"""")"),"")</f>
        <v/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"/>
      <c r="B272" s="2" t="str">
        <f>IFERROR(__xludf.DUMMYFUNCTION("IFERROR(INDEX(SPLIT(D272, ""_""), 3),"""")"),"")</f>
        <v/>
      </c>
      <c r="C272" s="6" t="str">
        <f>IFERROR(__xludf.DUMMYFUNCTION("IFERROR(REGEXEXTRACT(D272, ""TII.*""), """")"),"")</f>
        <v/>
      </c>
      <c r="D272" s="6"/>
      <c r="E272" s="6"/>
      <c r="F272" s="6" t="str">
        <f>IFERROR(__xludf.DUMMYFUNCTION("IFERROR(INDEX(SPLIT(D272, ""_""), 4),"""")"),"")</f>
        <v/>
      </c>
      <c r="G272" s="6" t="str">
        <f>IFERROR(__xludf.DUMMYFUNCTION("IFERROR(INDEX(SPLIT(D272, ""_""), 6),"""")"),"")</f>
        <v/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"/>
      <c r="B273" s="2" t="str">
        <f>IFERROR(__xludf.DUMMYFUNCTION("IFERROR(INDEX(SPLIT(D273, ""_""), 3),"""")"),"")</f>
        <v/>
      </c>
      <c r="C273" s="6" t="str">
        <f>IFERROR(__xludf.DUMMYFUNCTION("IFERROR(REGEXEXTRACT(D273, ""TII.*""), """")"),"")</f>
        <v/>
      </c>
      <c r="D273" s="6"/>
      <c r="E273" s="6"/>
      <c r="F273" s="6" t="str">
        <f>IFERROR(__xludf.DUMMYFUNCTION("IFERROR(INDEX(SPLIT(D273, ""_""), 4),"""")"),"")</f>
        <v/>
      </c>
      <c r="G273" s="6" t="str">
        <f>IFERROR(__xludf.DUMMYFUNCTION("IFERROR(INDEX(SPLIT(D273, ""_""), 6),"""")"),"")</f>
        <v/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"/>
      <c r="B274" s="2" t="str">
        <f>IFERROR(__xludf.DUMMYFUNCTION("IFERROR(INDEX(SPLIT(D274, ""_""), 3),"""")"),"")</f>
        <v/>
      </c>
      <c r="C274" s="6" t="str">
        <f>IFERROR(__xludf.DUMMYFUNCTION("IFERROR(REGEXEXTRACT(D274, ""TII.*""), """")"),"")</f>
        <v/>
      </c>
      <c r="D274" s="6"/>
      <c r="E274" s="6"/>
      <c r="F274" s="6" t="str">
        <f>IFERROR(__xludf.DUMMYFUNCTION("IFERROR(INDEX(SPLIT(D274, ""_""), 4),"""")"),"")</f>
        <v/>
      </c>
      <c r="G274" s="6" t="str">
        <f>IFERROR(__xludf.DUMMYFUNCTION("IFERROR(INDEX(SPLIT(D274, ""_""), 6),"""")"),"")</f>
        <v/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"/>
      <c r="B275" s="2" t="str">
        <f>IFERROR(__xludf.DUMMYFUNCTION("IFERROR(INDEX(SPLIT(D275, ""_""), 3),"""")"),"")</f>
        <v/>
      </c>
      <c r="C275" s="6" t="str">
        <f>IFERROR(__xludf.DUMMYFUNCTION("IFERROR(REGEXEXTRACT(D275, ""TII.*""), """")"),"")</f>
        <v/>
      </c>
      <c r="D275" s="6"/>
      <c r="E275" s="6"/>
      <c r="F275" s="6" t="str">
        <f>IFERROR(__xludf.DUMMYFUNCTION("IFERROR(INDEX(SPLIT(D275, ""_""), 4),"""")"),"")</f>
        <v/>
      </c>
      <c r="G275" s="6" t="str">
        <f>IFERROR(__xludf.DUMMYFUNCTION("IFERROR(INDEX(SPLIT(D275, ""_""), 6),"""")"),"")</f>
        <v/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"/>
      <c r="B276" s="2" t="str">
        <f>IFERROR(__xludf.DUMMYFUNCTION("IFERROR(INDEX(SPLIT(D276, ""_""), 3),"""")"),"")</f>
        <v/>
      </c>
      <c r="C276" s="6" t="str">
        <f>IFERROR(__xludf.DUMMYFUNCTION("IFERROR(REGEXEXTRACT(D276, ""TII.*""), """")"),"")</f>
        <v/>
      </c>
      <c r="D276" s="6"/>
      <c r="E276" s="6"/>
      <c r="F276" s="6" t="str">
        <f>IFERROR(__xludf.DUMMYFUNCTION("IFERROR(INDEX(SPLIT(D276, ""_""), 4),"""")"),"")</f>
        <v/>
      </c>
      <c r="G276" s="6" t="str">
        <f>IFERROR(__xludf.DUMMYFUNCTION("IFERROR(INDEX(SPLIT(D276, ""_""), 6),"""")"),"")</f>
        <v/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"/>
      <c r="B277" s="2" t="str">
        <f>IFERROR(__xludf.DUMMYFUNCTION("IFERROR(INDEX(SPLIT(D277, ""_""), 3),"""")"),"")</f>
        <v/>
      </c>
      <c r="C277" s="6" t="str">
        <f>IFERROR(__xludf.DUMMYFUNCTION("IFERROR(REGEXEXTRACT(D277, ""TII.*""), """")"),"")</f>
        <v/>
      </c>
      <c r="D277" s="6"/>
      <c r="E277" s="6"/>
      <c r="F277" s="6" t="str">
        <f>IFERROR(__xludf.DUMMYFUNCTION("IFERROR(INDEX(SPLIT(D277, ""_""), 4),"""")"),"")</f>
        <v/>
      </c>
      <c r="G277" s="6" t="str">
        <f>IFERROR(__xludf.DUMMYFUNCTION("IFERROR(INDEX(SPLIT(D277, ""_""), 6),"""")"),"")</f>
        <v/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"/>
      <c r="B278" s="2" t="str">
        <f>IFERROR(__xludf.DUMMYFUNCTION("IFERROR(INDEX(SPLIT(D278, ""_""), 3),"""")"),"")</f>
        <v/>
      </c>
      <c r="C278" s="6"/>
      <c r="D278" s="6"/>
      <c r="E278" s="6"/>
      <c r="F278" s="6" t="str">
        <f>IFERROR(__xludf.DUMMYFUNCTION("IFERROR(INDEX(SPLIT(D278, ""_""), 4),"""")"),"")</f>
        <v/>
      </c>
      <c r="G278" s="6" t="str">
        <f>IFERROR(__xludf.DUMMYFUNCTION("IFERROR(INDEX(SPLIT(D278, ""_""), 6),"""")"),"")</f>
        <v/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"/>
      <c r="B279" s="2" t="str">
        <f>IFERROR(__xludf.DUMMYFUNCTION("IFERROR(INDEX(SPLIT(D279, ""_""), 3),"""")"),"")</f>
        <v/>
      </c>
      <c r="C279" s="6"/>
      <c r="D279" s="6"/>
      <c r="E279" s="6"/>
      <c r="F279" s="6" t="str">
        <f>IFERROR(__xludf.DUMMYFUNCTION("IFERROR(INDEX(SPLIT(D279, ""_""), 4),"""")"),"")</f>
        <v/>
      </c>
      <c r="G279" s="6" t="str">
        <f>IFERROR(__xludf.DUMMYFUNCTION("IFERROR(INDEX(SPLIT(D279, ""_""), 6),"""")"),"")</f>
        <v/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"/>
      <c r="B280" s="2" t="str">
        <f>IFERROR(__xludf.DUMMYFUNCTION("IFERROR(INDEX(SPLIT(D280, ""_""), 3),"""")"),"")</f>
        <v/>
      </c>
      <c r="C280" s="6"/>
      <c r="D280" s="6"/>
      <c r="E280" s="6"/>
      <c r="F280" s="6" t="str">
        <f>IFERROR(__xludf.DUMMYFUNCTION("IFERROR(INDEX(SPLIT(D280, ""_""), 4),"""")"),"")</f>
        <v/>
      </c>
      <c r="G280" s="6" t="str">
        <f>IFERROR(__xludf.DUMMYFUNCTION("IFERROR(INDEX(SPLIT(D280, ""_""), 6),"""")"),"")</f>
        <v/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"/>
      <c r="B281" s="2" t="str">
        <f>IFERROR(__xludf.DUMMYFUNCTION("IFERROR(INDEX(SPLIT(D281, ""_""), 3),"""")"),"")</f>
        <v/>
      </c>
      <c r="C281" s="6"/>
      <c r="D281" s="6"/>
      <c r="E281" s="6"/>
      <c r="F281" s="6" t="str">
        <f>IFERROR(__xludf.DUMMYFUNCTION("IFERROR(INDEX(SPLIT(D281, ""_""), 4),"""")"),"")</f>
        <v/>
      </c>
      <c r="G281" s="6" t="str">
        <f>IFERROR(__xludf.DUMMYFUNCTION("IFERROR(INDEX(SPLIT(D281, ""_""), 6),"""")"),"")</f>
        <v/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"/>
      <c r="B282" s="2" t="str">
        <f>IFERROR(__xludf.DUMMYFUNCTION("IFERROR(INDEX(SPLIT(D282, ""_""), 3),"""")"),"")</f>
        <v/>
      </c>
      <c r="C282" s="6"/>
      <c r="D282" s="6"/>
      <c r="E282" s="6"/>
      <c r="F282" s="6" t="str">
        <f>IFERROR(__xludf.DUMMYFUNCTION("IFERROR(INDEX(SPLIT(D282, ""_""), 4),"""")"),"")</f>
        <v/>
      </c>
      <c r="G282" s="6" t="str">
        <f>IFERROR(__xludf.DUMMYFUNCTION("IFERROR(INDEX(SPLIT(D282, ""_""), 6),"""")"),"")</f>
        <v/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"/>
      <c r="B283" s="2" t="str">
        <f>IFERROR(__xludf.DUMMYFUNCTION("IFERROR(INDEX(SPLIT(D283, ""_""), 3),"""")"),"")</f>
        <v/>
      </c>
      <c r="C283" s="6"/>
      <c r="D283" s="6"/>
      <c r="E283" s="6"/>
      <c r="F283" s="6" t="str">
        <f>IFERROR(__xludf.DUMMYFUNCTION("IFERROR(INDEX(SPLIT(D283, ""_""), 4),"""")"),"")</f>
        <v/>
      </c>
      <c r="G283" s="6" t="str">
        <f>IFERROR(__xludf.DUMMYFUNCTION("IFERROR(INDEX(SPLIT(D283, ""_""), 6),"""")"),"")</f>
        <v/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"/>
      <c r="B284" s="2" t="str">
        <f>IFERROR(__xludf.DUMMYFUNCTION("IFERROR(INDEX(SPLIT(D284, ""_""), 3),"""")"),"")</f>
        <v/>
      </c>
      <c r="C284" s="6"/>
      <c r="D284" s="6"/>
      <c r="E284" s="6"/>
      <c r="F284" s="6" t="str">
        <f>IFERROR(__xludf.DUMMYFUNCTION("IFERROR(INDEX(SPLIT(D284, ""_""), 4),"""")"),"")</f>
        <v/>
      </c>
      <c r="G284" s="6" t="str">
        <f>IFERROR(__xludf.DUMMYFUNCTION("IFERROR(INDEX(SPLIT(D284, ""_""), 6),"""")"),"")</f>
        <v/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"/>
      <c r="B285" s="2" t="str">
        <f>IFERROR(__xludf.DUMMYFUNCTION("IFERROR(INDEX(SPLIT(D285, ""_""), 3),"""")"),"")</f>
        <v/>
      </c>
      <c r="C285" s="6"/>
      <c r="D285" s="6"/>
      <c r="E285" s="6"/>
      <c r="F285" s="6" t="str">
        <f>IFERROR(__xludf.DUMMYFUNCTION("IFERROR(INDEX(SPLIT(D285, ""_""), 4),"""")"),"")</f>
        <v/>
      </c>
      <c r="G285" s="6" t="str">
        <f>IFERROR(__xludf.DUMMYFUNCTION("IFERROR(INDEX(SPLIT(D285, ""_""), 6),"""")"),"")</f>
        <v/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"/>
      <c r="B286" s="2" t="str">
        <f>IFERROR(__xludf.DUMMYFUNCTION("IFERROR(INDEX(SPLIT(D286, ""_""), 3),"""")"),"")</f>
        <v/>
      </c>
      <c r="C286" s="6"/>
      <c r="D286" s="6"/>
      <c r="E286" s="6"/>
      <c r="F286" s="6" t="str">
        <f>IFERROR(__xludf.DUMMYFUNCTION("IFERROR(INDEX(SPLIT(D286, ""_""), 4),"""")"),"")</f>
        <v/>
      </c>
      <c r="G286" s="6" t="str">
        <f>IFERROR(__xludf.DUMMYFUNCTION("IFERROR(INDEX(SPLIT(D286, ""_""), 6),"""")"),"")</f>
        <v/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"/>
      <c r="B287" s="2" t="str">
        <f>IFERROR(__xludf.DUMMYFUNCTION("IFERROR(INDEX(SPLIT(D287, ""_""), 3),"""")"),"")</f>
        <v/>
      </c>
      <c r="C287" s="6"/>
      <c r="D287" s="6"/>
      <c r="E287" s="6"/>
      <c r="F287" s="6" t="str">
        <f>IFERROR(__xludf.DUMMYFUNCTION("IFERROR(INDEX(SPLIT(D287, ""_""), 4),"""")"),"")</f>
        <v/>
      </c>
      <c r="G287" s="6" t="str">
        <f>IFERROR(__xludf.DUMMYFUNCTION("IFERROR(INDEX(SPLIT(D287, ""_""), 6),"""")"),"")</f>
        <v/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"/>
      <c r="B288" s="2" t="str">
        <f>IFERROR(__xludf.DUMMYFUNCTION("IFERROR(INDEX(SPLIT(D288, ""_""), 3),"""")"),"")</f>
        <v/>
      </c>
      <c r="C288" s="6"/>
      <c r="D288" s="6"/>
      <c r="E288" s="6"/>
      <c r="F288" s="6" t="str">
        <f>IFERROR(__xludf.DUMMYFUNCTION("IFERROR(INDEX(SPLIT(D288, ""_""), 4),"""")"),"")</f>
        <v/>
      </c>
      <c r="G288" s="6" t="str">
        <f>IFERROR(__xludf.DUMMYFUNCTION("IFERROR(INDEX(SPLIT(D288, ""_""), 6),"""")"),"")</f>
        <v/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"/>
      <c r="B289" s="2" t="str">
        <f>IFERROR(__xludf.DUMMYFUNCTION("IFERROR(INDEX(SPLIT(D289, ""_""), 3),"""")"),"")</f>
        <v/>
      </c>
      <c r="C289" s="6"/>
      <c r="D289" s="6"/>
      <c r="E289" s="6"/>
      <c r="F289" s="6" t="str">
        <f>IFERROR(__xludf.DUMMYFUNCTION("IFERROR(INDEX(SPLIT(D289, ""_""), 4),"""")"),"")</f>
        <v/>
      </c>
      <c r="G289" s="6" t="str">
        <f>IFERROR(__xludf.DUMMYFUNCTION("IFERROR(INDEX(SPLIT(D289, ""_""), 6),"""")"),"")</f>
        <v/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"/>
      <c r="B290" s="2" t="str">
        <f>IFERROR(__xludf.DUMMYFUNCTION("IFERROR(INDEX(SPLIT(D290, ""_""), 3),"""")"),"")</f>
        <v/>
      </c>
      <c r="C290" s="6"/>
      <c r="D290" s="6"/>
      <c r="E290" s="6"/>
      <c r="F290" s="6" t="str">
        <f>IFERROR(__xludf.DUMMYFUNCTION("IFERROR(INDEX(SPLIT(D290, ""_""), 4),"""")"),"")</f>
        <v/>
      </c>
      <c r="G290" s="6" t="str">
        <f>IFERROR(__xludf.DUMMYFUNCTION("IFERROR(INDEX(SPLIT(D290, ""_""), 6),"""")"),"")</f>
        <v/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"/>
      <c r="B291" s="2" t="str">
        <f>IFERROR(__xludf.DUMMYFUNCTION("IFERROR(INDEX(SPLIT(D291, ""_""), 3),"""")"),"")</f>
        <v/>
      </c>
      <c r="C291" s="6"/>
      <c r="D291" s="6"/>
      <c r="E291" s="6"/>
      <c r="F291" s="6" t="str">
        <f>IFERROR(__xludf.DUMMYFUNCTION("IFERROR(INDEX(SPLIT(D291, ""_""), 4),"""")"),"")</f>
        <v/>
      </c>
      <c r="G291" s="6" t="str">
        <f>IFERROR(__xludf.DUMMYFUNCTION("IFERROR(INDEX(SPLIT(D291, ""_""), 6),"""")"),"")</f>
        <v/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"/>
      <c r="B292" s="2" t="str">
        <f>IFERROR(__xludf.DUMMYFUNCTION("IFERROR(INDEX(SPLIT(D292, ""_""), 3),"""")"),"")</f>
        <v/>
      </c>
      <c r="C292" s="6"/>
      <c r="D292" s="6"/>
      <c r="E292" s="6"/>
      <c r="F292" s="6" t="str">
        <f>IFERROR(__xludf.DUMMYFUNCTION("IFERROR(INDEX(SPLIT(D292, ""_""), 4),"""")"),"")</f>
        <v/>
      </c>
      <c r="G292" s="6" t="str">
        <f>IFERROR(__xludf.DUMMYFUNCTION("IFERROR(INDEX(SPLIT(D292, ""_""), 6),"""")"),"")</f>
        <v/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"/>
      <c r="B293" s="2" t="str">
        <f>IFERROR(__xludf.DUMMYFUNCTION("IFERROR(INDEX(SPLIT(D293, ""_""), 3),"""")"),"")</f>
        <v/>
      </c>
      <c r="C293" s="6"/>
      <c r="D293" s="6"/>
      <c r="E293" s="6"/>
      <c r="F293" s="6" t="str">
        <f>IFERROR(__xludf.DUMMYFUNCTION("IFERROR(INDEX(SPLIT(D293, ""_""), 4),"""")"),"")</f>
        <v/>
      </c>
      <c r="G293" s="6" t="str">
        <f>IFERROR(__xludf.DUMMYFUNCTION("IFERROR(INDEX(SPLIT(D293, ""_""), 6),"""")"),"")</f>
        <v/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"/>
      <c r="B294" s="2" t="str">
        <f>IFERROR(__xludf.DUMMYFUNCTION("IFERROR(INDEX(SPLIT(D294, ""_""), 3),"""")"),"")</f>
        <v/>
      </c>
      <c r="C294" s="6"/>
      <c r="D294" s="6"/>
      <c r="E294" s="6"/>
      <c r="F294" s="6" t="str">
        <f>IFERROR(__xludf.DUMMYFUNCTION("IFERROR(INDEX(SPLIT(D294, ""_""), 4),"""")"),"")</f>
        <v/>
      </c>
      <c r="G294" s="6" t="str">
        <f>IFERROR(__xludf.DUMMYFUNCTION("IFERROR(INDEX(SPLIT(D294, ""_""), 6),"""")"),"")</f>
        <v/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"/>
      <c r="B295" s="2" t="str">
        <f>IFERROR(__xludf.DUMMYFUNCTION("IFERROR(INDEX(SPLIT(D295, ""_""), 3),"""")"),"")</f>
        <v/>
      </c>
      <c r="C295" s="6"/>
      <c r="D295" s="6"/>
      <c r="E295" s="6"/>
      <c r="F295" s="6" t="str">
        <f>IFERROR(__xludf.DUMMYFUNCTION("IFERROR(INDEX(SPLIT(D295, ""_""), 4),"""")"),"")</f>
        <v/>
      </c>
      <c r="G295" s="6" t="str">
        <f>IFERROR(__xludf.DUMMYFUNCTION("IFERROR(INDEX(SPLIT(D295, ""_""), 6),"""")"),"")</f>
        <v/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"/>
      <c r="B296" s="2" t="str">
        <f>IFERROR(__xludf.DUMMYFUNCTION("IFERROR(INDEX(SPLIT(D296, ""_""), 3),"""")"),"")</f>
        <v/>
      </c>
      <c r="C296" s="6"/>
      <c r="D296" s="6"/>
      <c r="E296" s="6"/>
      <c r="F296" s="6" t="str">
        <f>IFERROR(__xludf.DUMMYFUNCTION("IFERROR(INDEX(SPLIT(D296, ""_""), 4),"""")"),"")</f>
        <v/>
      </c>
      <c r="G296" s="6" t="str">
        <f>IFERROR(__xludf.DUMMYFUNCTION("IFERROR(INDEX(SPLIT(D296, ""_""), 6),"""")"),"")</f>
        <v/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"/>
      <c r="B297" s="2" t="str">
        <f>IFERROR(__xludf.DUMMYFUNCTION("IFERROR(INDEX(SPLIT(D297, ""_""), 3),"""")"),"")</f>
        <v/>
      </c>
      <c r="C297" s="6"/>
      <c r="D297" s="6"/>
      <c r="E297" s="6"/>
      <c r="F297" s="6" t="str">
        <f>IFERROR(__xludf.DUMMYFUNCTION("IFERROR(INDEX(SPLIT(D297, ""_""), 4),"""")"),"")</f>
        <v/>
      </c>
      <c r="G297" s="6" t="str">
        <f>IFERROR(__xludf.DUMMYFUNCTION("IFERROR(INDEX(SPLIT(D297, ""_""), 6),"""")"),"")</f>
        <v/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"/>
      <c r="B298" s="2" t="str">
        <f>IFERROR(__xludf.DUMMYFUNCTION("IFERROR(INDEX(SPLIT(D298, ""_""), 3),"""")"),"")</f>
        <v/>
      </c>
      <c r="C298" s="6"/>
      <c r="D298" s="6"/>
      <c r="E298" s="6"/>
      <c r="F298" s="6" t="str">
        <f>IFERROR(__xludf.DUMMYFUNCTION("IFERROR(INDEX(SPLIT(D298, ""_""), 4),"""")"),"")</f>
        <v/>
      </c>
      <c r="G298" s="6" t="str">
        <f>IFERROR(__xludf.DUMMYFUNCTION("IFERROR(INDEX(SPLIT(D298, ""_""), 6),"""")"),"")</f>
        <v/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"/>
      <c r="B299" s="2" t="str">
        <f>IFERROR(__xludf.DUMMYFUNCTION("IFERROR(INDEX(SPLIT(D299, ""_""), 3),"""")"),"")</f>
        <v/>
      </c>
      <c r="C299" s="6"/>
      <c r="D299" s="6"/>
      <c r="E299" s="6"/>
      <c r="F299" s="6" t="str">
        <f>IFERROR(__xludf.DUMMYFUNCTION("IFERROR(INDEX(SPLIT(D299, ""_""), 4),"""")"),"")</f>
        <v/>
      </c>
      <c r="G299" s="6" t="str">
        <f>IFERROR(__xludf.DUMMYFUNCTION("IFERROR(INDEX(SPLIT(D299, ""_""), 6),"""")"),"")</f>
        <v/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"/>
      <c r="B300" s="2" t="str">
        <f>IFERROR(__xludf.DUMMYFUNCTION("IFERROR(INDEX(SPLIT(D300, ""_""), 3),"""")"),"")</f>
        <v/>
      </c>
      <c r="C300" s="6"/>
      <c r="D300" s="6"/>
      <c r="E300" s="6"/>
      <c r="F300" s="6" t="str">
        <f>IFERROR(__xludf.DUMMYFUNCTION("IFERROR(INDEX(SPLIT(D300, ""_""), 4),"""")"),"")</f>
        <v/>
      </c>
      <c r="G300" s="6" t="str">
        <f>IFERROR(__xludf.DUMMYFUNCTION("IFERROR(INDEX(SPLIT(D300, ""_""), 6),"""")"),"")</f>
        <v/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"/>
      <c r="B301" s="2" t="str">
        <f>IFERROR(__xludf.DUMMYFUNCTION("IFERROR(INDEX(SPLIT(D301, ""_""), 3),"""")"),"")</f>
        <v/>
      </c>
      <c r="C301" s="6"/>
      <c r="D301" s="6"/>
      <c r="E301" s="6"/>
      <c r="F301" s="6" t="str">
        <f>IFERROR(__xludf.DUMMYFUNCTION("IFERROR(INDEX(SPLIT(D301, ""_""), 4),"""")"),"")</f>
        <v/>
      </c>
      <c r="G301" s="6" t="str">
        <f>IFERROR(__xludf.DUMMYFUNCTION("IFERROR(INDEX(SPLIT(D301, ""_""), 6),"""")"),"")</f>
        <v/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"/>
      <c r="B302" s="2" t="str">
        <f>IFERROR(__xludf.DUMMYFUNCTION("IFERROR(INDEX(SPLIT(D302, ""_""), 3),"""")"),"")</f>
        <v/>
      </c>
      <c r="C302" s="6"/>
      <c r="D302" s="6"/>
      <c r="E302" s="6"/>
      <c r="F302" s="6" t="str">
        <f>IFERROR(__xludf.DUMMYFUNCTION("IFERROR(INDEX(SPLIT(D302, ""_""), 4),"""")"),"")</f>
        <v/>
      </c>
      <c r="G302" s="6" t="str">
        <f>IFERROR(__xludf.DUMMYFUNCTION("IFERROR(INDEX(SPLIT(D302, ""_""), 6),"""")"),"")</f>
        <v/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"/>
      <c r="B303" s="2"/>
      <c r="C303" s="6"/>
      <c r="D303" s="6"/>
      <c r="E303" s="6"/>
      <c r="F303" s="6" t="str">
        <f>IFERROR(__xludf.DUMMYFUNCTION("IFERROR(INDEX(SPLIT(D303, ""_""), 4),"""")"),"")</f>
        <v/>
      </c>
      <c r="G303" s="6" t="str">
        <f>IFERROR(__xludf.DUMMYFUNCTION("IFERROR(INDEX(SPLIT(D303, ""_""), 6),"""")"),"")</f>
        <v/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"/>
      <c r="B304" s="2"/>
      <c r="C304" s="6"/>
      <c r="D304" s="6"/>
      <c r="E304" s="6"/>
      <c r="F304" s="6" t="str">
        <f>IFERROR(__xludf.DUMMYFUNCTION("IFERROR(INDEX(SPLIT(D304, ""_""), 4),"""")"),"")</f>
        <v/>
      </c>
      <c r="G304" s="6" t="str">
        <f>IFERROR(__xludf.DUMMYFUNCTION("IFERROR(INDEX(SPLIT(D304, ""_""), 6),"""")"),"")</f>
        <v/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"/>
      <c r="B305" s="2"/>
      <c r="C305" s="6"/>
      <c r="D305" s="6"/>
      <c r="E305" s="6"/>
      <c r="F305" s="6" t="str">
        <f>IFERROR(__xludf.DUMMYFUNCTION("IFERROR(INDEX(SPLIT(D305, ""_""), 4),"""")"),"")</f>
        <v/>
      </c>
      <c r="G305" s="6" t="str">
        <f>IFERROR(__xludf.DUMMYFUNCTION("IFERROR(INDEX(SPLIT(D305, ""_""), 6),"""")"),"")</f>
        <v/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"/>
      <c r="B306" s="2"/>
      <c r="C306" s="6"/>
      <c r="D306" s="6"/>
      <c r="E306" s="6"/>
      <c r="F306" s="6" t="str">
        <f>IFERROR(__xludf.DUMMYFUNCTION("IFERROR(INDEX(SPLIT(D306, ""_""), 4),"""")"),"")</f>
        <v/>
      </c>
      <c r="G306" s="6" t="str">
        <f>IFERROR(__xludf.DUMMYFUNCTION("IFERROR(INDEX(SPLIT(D306, ""_""), 6),"""")"),"")</f>
        <v/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"/>
      <c r="B307" s="2"/>
      <c r="C307" s="6"/>
      <c r="D307" s="6"/>
      <c r="E307" s="6"/>
      <c r="F307" s="6" t="str">
        <f>IFERROR(__xludf.DUMMYFUNCTION("IFERROR(INDEX(SPLIT(D307, ""_""), 4),"""")"),"")</f>
        <v/>
      </c>
      <c r="G307" s="6" t="str">
        <f>IFERROR(__xludf.DUMMYFUNCTION("IFERROR(INDEX(SPLIT(D307, ""_""), 6),"""")"),"")</f>
        <v/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"/>
      <c r="B308" s="2"/>
      <c r="C308" s="6"/>
      <c r="D308" s="6"/>
      <c r="E308" s="6"/>
      <c r="F308" s="6" t="str">
        <f>IFERROR(__xludf.DUMMYFUNCTION("IFERROR(INDEX(SPLIT(D308, ""_""), 4),"""")"),"")</f>
        <v/>
      </c>
      <c r="G308" s="6" t="str">
        <f>IFERROR(__xludf.DUMMYFUNCTION("IFERROR(INDEX(SPLIT(D308, ""_""), 6),"""")"),"")</f>
        <v/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"/>
      <c r="B309" s="2"/>
      <c r="C309" s="6"/>
      <c r="D309" s="6"/>
      <c r="E309" s="6"/>
      <c r="F309" s="6" t="str">
        <f>IFERROR(__xludf.DUMMYFUNCTION("IFERROR(INDEX(SPLIT(D309, ""_""), 4),"""")"),"")</f>
        <v/>
      </c>
      <c r="G309" s="6" t="str">
        <f>IFERROR(__xludf.DUMMYFUNCTION("IFERROR(INDEX(SPLIT(D309, ""_""), 6),"""")"),"")</f>
        <v/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"/>
      <c r="B310" s="2"/>
      <c r="C310" s="6"/>
      <c r="D310" s="6"/>
      <c r="E310" s="6"/>
      <c r="F310" s="6" t="str">
        <f>IFERROR(__xludf.DUMMYFUNCTION("IFERROR(INDEX(SPLIT(D310, ""_""), 4),"""")"),"")</f>
        <v/>
      </c>
      <c r="G310" s="6" t="str">
        <f>IFERROR(__xludf.DUMMYFUNCTION("IFERROR(INDEX(SPLIT(D310, ""_""), 6),"""")"),"")</f>
        <v/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"/>
      <c r="B311" s="2"/>
      <c r="C311" s="6"/>
      <c r="D311" s="6"/>
      <c r="E311" s="6"/>
      <c r="F311" s="6" t="str">
        <f>IFERROR(__xludf.DUMMYFUNCTION("IFERROR(INDEX(SPLIT(D311, ""_""), 4),"""")"),"")</f>
        <v/>
      </c>
      <c r="G311" s="6" t="str">
        <f>IFERROR(__xludf.DUMMYFUNCTION("IFERROR(INDEX(SPLIT(D311, ""_""), 6),"""")"),"")</f>
        <v/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"/>
      <c r="B312" s="2"/>
      <c r="C312" s="6"/>
      <c r="D312" s="6"/>
      <c r="E312" s="6"/>
      <c r="F312" s="6" t="str">
        <f>IFERROR(__xludf.DUMMYFUNCTION("IFERROR(INDEX(SPLIT(D312, ""_""), 4),"""")"),"")</f>
        <v/>
      </c>
      <c r="G312" s="6" t="str">
        <f>IFERROR(__xludf.DUMMYFUNCTION("IFERROR(INDEX(SPLIT(D312, ""_""), 6),"""")"),"")</f>
        <v/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"/>
      <c r="B313" s="2"/>
      <c r="C313" s="6"/>
      <c r="D313" s="6"/>
      <c r="E313" s="6"/>
      <c r="F313" s="6" t="str">
        <f>IFERROR(__xludf.DUMMYFUNCTION("IFERROR(INDEX(SPLIT(D313, ""_""), 4),"""")"),"")</f>
        <v/>
      </c>
      <c r="G313" s="6" t="str">
        <f>IFERROR(__xludf.DUMMYFUNCTION("IFERROR(INDEX(SPLIT(D313, ""_""), 6),"""")"),"")</f>
        <v/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"/>
      <c r="B314" s="2"/>
      <c r="C314" s="6"/>
      <c r="D314" s="6"/>
      <c r="E314" s="6"/>
      <c r="F314" s="6" t="str">
        <f>IFERROR(__xludf.DUMMYFUNCTION("IFERROR(INDEX(SPLIT(D314, ""_""), 4),"""")"),"")</f>
        <v/>
      </c>
      <c r="G314" s="6" t="str">
        <f>IFERROR(__xludf.DUMMYFUNCTION("IFERROR(INDEX(SPLIT(D314, ""_""), 6),"""")"),"")</f>
        <v/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"/>
      <c r="B315" s="2"/>
      <c r="C315" s="6"/>
      <c r="D315" s="6"/>
      <c r="E315" s="6"/>
      <c r="F315" s="6" t="str">
        <f>IFERROR(__xludf.DUMMYFUNCTION("IFERROR(INDEX(SPLIT(D315, ""_""), 4),"""")"),"")</f>
        <v/>
      </c>
      <c r="G315" s="6" t="str">
        <f>IFERROR(__xludf.DUMMYFUNCTION("IFERROR(INDEX(SPLIT(D315, ""_""), 6),"""")"),"")</f>
        <v/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"/>
      <c r="B316" s="2"/>
      <c r="C316" s="6"/>
      <c r="D316" s="6"/>
      <c r="E316" s="6"/>
      <c r="F316" s="6" t="str">
        <f>IFERROR(__xludf.DUMMYFUNCTION("IFERROR(INDEX(SPLIT(D316, ""_""), 4),"""")"),"")</f>
        <v/>
      </c>
      <c r="G316" s="6" t="str">
        <f>IFERROR(__xludf.DUMMYFUNCTION("IFERROR(INDEX(SPLIT(D316, ""_""), 6),"""")"),"")</f>
        <v/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"/>
      <c r="B317" s="2"/>
      <c r="C317" s="6"/>
      <c r="D317" s="6"/>
      <c r="E317" s="6"/>
      <c r="F317" s="6" t="str">
        <f>IFERROR(__xludf.DUMMYFUNCTION("IFERROR(INDEX(SPLIT(D317, ""_""), 4),"""")"),"")</f>
        <v/>
      </c>
      <c r="G317" s="6" t="str">
        <f>IFERROR(__xludf.DUMMYFUNCTION("IFERROR(INDEX(SPLIT(D317, ""_""), 6),"""")"),"")</f>
        <v/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"/>
      <c r="B318" s="2"/>
      <c r="C318" s="6"/>
      <c r="D318" s="6"/>
      <c r="E318" s="6"/>
      <c r="F318" s="6" t="str">
        <f>IFERROR(__xludf.DUMMYFUNCTION("IFERROR(INDEX(SPLIT(D318, ""_""), 4),"""")"),"")</f>
        <v/>
      </c>
      <c r="G318" s="6" t="str">
        <f>IFERROR(__xludf.DUMMYFUNCTION("IFERROR(INDEX(SPLIT(D318, ""_""), 6),"""")"),"")</f>
        <v/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"/>
      <c r="B319" s="2"/>
      <c r="C319" s="6"/>
      <c r="D319" s="6"/>
      <c r="E319" s="6"/>
      <c r="F319" s="6" t="str">
        <f>IFERROR(__xludf.DUMMYFUNCTION("IFERROR(INDEX(SPLIT(D319, ""_""), 4),"""")"),"")</f>
        <v/>
      </c>
      <c r="G319" s="6" t="str">
        <f>IFERROR(__xludf.DUMMYFUNCTION("IFERROR(INDEX(SPLIT(D319, ""_""), 6),"""")"),"")</f>
        <v/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"/>
      <c r="B320" s="2"/>
      <c r="C320" s="6"/>
      <c r="D320" s="6"/>
      <c r="E320" s="6"/>
      <c r="F320" s="6" t="str">
        <f>IFERROR(__xludf.DUMMYFUNCTION("IFERROR(INDEX(SPLIT(D320, ""_""), 4),"""")"),"")</f>
        <v/>
      </c>
      <c r="G320" s="6" t="str">
        <f>IFERROR(__xludf.DUMMYFUNCTION("IFERROR(INDEX(SPLIT(D320, ""_""), 6),"""")"),"")</f>
        <v/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"/>
      <c r="B321" s="2"/>
      <c r="C321" s="6"/>
      <c r="D321" s="6"/>
      <c r="E321" s="6"/>
      <c r="F321" s="6" t="str">
        <f>IFERROR(__xludf.DUMMYFUNCTION("IFERROR(INDEX(SPLIT(D321, ""_""), 4),"""")"),"")</f>
        <v/>
      </c>
      <c r="G321" s="6" t="str">
        <f>IFERROR(__xludf.DUMMYFUNCTION("IFERROR(INDEX(SPLIT(D321, ""_""), 6),"""")"),"")</f>
        <v/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"/>
      <c r="B322" s="2"/>
      <c r="C322" s="6"/>
      <c r="D322" s="6"/>
      <c r="E322" s="6"/>
      <c r="F322" s="6" t="str">
        <f>IFERROR(__xludf.DUMMYFUNCTION("IFERROR(INDEX(SPLIT(D322, ""_""), 4),"""")"),"")</f>
        <v/>
      </c>
      <c r="G322" s="6" t="str">
        <f>IFERROR(__xludf.DUMMYFUNCTION("IFERROR(INDEX(SPLIT(D322, ""_""), 6),"""")"),"")</f>
        <v/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"/>
      <c r="B323" s="2"/>
      <c r="C323" s="6"/>
      <c r="D323" s="6"/>
      <c r="E323" s="6"/>
      <c r="F323" s="6" t="str">
        <f>IFERROR(__xludf.DUMMYFUNCTION("IFERROR(INDEX(SPLIT(D323, ""_""), 4),"""")"),"")</f>
        <v/>
      </c>
      <c r="G323" s="6" t="str">
        <f>IFERROR(__xludf.DUMMYFUNCTION("IFERROR(INDEX(SPLIT(D323, ""_""), 6),"""")"),"")</f>
        <v/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"/>
      <c r="B324" s="2"/>
      <c r="C324" s="6"/>
      <c r="D324" s="6"/>
      <c r="E324" s="6"/>
      <c r="F324" s="6" t="str">
        <f>IFERROR(__xludf.DUMMYFUNCTION("IFERROR(INDEX(SPLIT(D324, ""_""), 4),"""")"),"")</f>
        <v/>
      </c>
      <c r="G324" s="6" t="str">
        <f>IFERROR(__xludf.DUMMYFUNCTION("IFERROR(INDEX(SPLIT(D324, ""_""), 6),"""")"),"")</f>
        <v/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"/>
      <c r="B325" s="2"/>
      <c r="C325" s="6"/>
      <c r="D325" s="6"/>
      <c r="E325" s="6"/>
      <c r="F325" s="6" t="str">
        <f>IFERROR(__xludf.DUMMYFUNCTION("IFERROR(INDEX(SPLIT(D325, ""_""), 4),"""")"),"")</f>
        <v/>
      </c>
      <c r="G325" s="6" t="str">
        <f>IFERROR(__xludf.DUMMYFUNCTION("IFERROR(INDEX(SPLIT(D325, ""_""), 6),"""")"),"")</f>
        <v/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"/>
      <c r="B326" s="2"/>
      <c r="C326" s="6"/>
      <c r="D326" s="6"/>
      <c r="E326" s="6"/>
      <c r="F326" s="6" t="str">
        <f>IFERROR(__xludf.DUMMYFUNCTION("IFERROR(INDEX(SPLIT(D326, ""_""), 4),"""")"),"")</f>
        <v/>
      </c>
      <c r="G326" s="6" t="str">
        <f>IFERROR(__xludf.DUMMYFUNCTION("IFERROR(INDEX(SPLIT(D326, ""_""), 6),"""")"),"")</f>
        <v/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"/>
      <c r="B327" s="2"/>
      <c r="C327" s="6"/>
      <c r="D327" s="6"/>
      <c r="E327" s="6"/>
      <c r="F327" s="6" t="str">
        <f>IFERROR(__xludf.DUMMYFUNCTION("IFERROR(INDEX(SPLIT(D327, ""_""), 4),"""")"),"")</f>
        <v/>
      </c>
      <c r="G327" s="6" t="str">
        <f>IFERROR(__xludf.DUMMYFUNCTION("IFERROR(INDEX(SPLIT(D327, ""_""), 6),"""")"),"")</f>
        <v/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"/>
      <c r="B328" s="2"/>
      <c r="C328" s="6"/>
      <c r="D328" s="6"/>
      <c r="E328" s="6"/>
      <c r="F328" s="6" t="str">
        <f>IFERROR(__xludf.DUMMYFUNCTION("IFERROR(INDEX(SPLIT(D328, ""_""), 4),"""")"),"")</f>
        <v/>
      </c>
      <c r="G328" s="6" t="str">
        <f>IFERROR(__xludf.DUMMYFUNCTION("IFERROR(INDEX(SPLIT(D328, ""_""), 6),"""")"),"")</f>
        <v/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"/>
      <c r="B329" s="2"/>
      <c r="C329" s="6"/>
      <c r="D329" s="6"/>
      <c r="E329" s="6"/>
      <c r="F329" s="6" t="str">
        <f>IFERROR(__xludf.DUMMYFUNCTION("IFERROR(INDEX(SPLIT(D329, ""_""), 4),"""")"),"")</f>
        <v/>
      </c>
      <c r="G329" s="6" t="str">
        <f>IFERROR(__xludf.DUMMYFUNCTION("IFERROR(INDEX(SPLIT(D329, ""_""), 6),"""")"),"")</f>
        <v/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"/>
      <c r="B330" s="2"/>
      <c r="C330" s="6"/>
      <c r="D330" s="6"/>
      <c r="E330" s="6"/>
      <c r="F330" s="6" t="str">
        <f>IFERROR(__xludf.DUMMYFUNCTION("IFERROR(INDEX(SPLIT(D330, ""_""), 4),"""")"),"")</f>
        <v/>
      </c>
      <c r="G330" s="6" t="str">
        <f>IFERROR(__xludf.DUMMYFUNCTION("IFERROR(INDEX(SPLIT(D330, ""_""), 6),"""")"),"")</f>
        <v/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"/>
      <c r="B331" s="2"/>
      <c r="C331" s="6"/>
      <c r="D331" s="6"/>
      <c r="E331" s="6"/>
      <c r="F331" s="6" t="str">
        <f>IFERROR(__xludf.DUMMYFUNCTION("IFERROR(INDEX(SPLIT(D331, ""_""), 4),"""")"),"")</f>
        <v/>
      </c>
      <c r="G331" s="6" t="str">
        <f>IFERROR(__xludf.DUMMYFUNCTION("IFERROR(INDEX(SPLIT(D331, ""_""), 6),"""")"),"")</f>
        <v/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"/>
      <c r="B332" s="2"/>
      <c r="C332" s="6"/>
      <c r="D332" s="6"/>
      <c r="E332" s="6"/>
      <c r="F332" s="6" t="str">
        <f>IFERROR(__xludf.DUMMYFUNCTION("IFERROR(INDEX(SPLIT(D332, ""_""), 4),"""")"),"")</f>
        <v/>
      </c>
      <c r="G332" s="6" t="str">
        <f>IFERROR(__xludf.DUMMYFUNCTION("IFERROR(INDEX(SPLIT(D332, ""_""), 6),"""")"),"")</f>
        <v/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"/>
      <c r="B333" s="2"/>
      <c r="C333" s="6"/>
      <c r="D333" s="6"/>
      <c r="E333" s="6"/>
      <c r="F333" s="6" t="str">
        <f>IFERROR(__xludf.DUMMYFUNCTION("IFERROR(INDEX(SPLIT(D333, ""_""), 4),"""")"),"")</f>
        <v/>
      </c>
      <c r="G333" s="6" t="str">
        <f>IFERROR(__xludf.DUMMYFUNCTION("IFERROR(INDEX(SPLIT(D333, ""_""), 6),"""")"),"")</f>
        <v/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"/>
      <c r="B334" s="2"/>
      <c r="C334" s="6"/>
      <c r="D334" s="6"/>
      <c r="E334" s="6"/>
      <c r="F334" s="6" t="str">
        <f>IFERROR(__xludf.DUMMYFUNCTION("IFERROR(INDEX(SPLIT(D334, ""_""), 4),"""")"),"")</f>
        <v/>
      </c>
      <c r="G334" s="6" t="str">
        <f>IFERROR(__xludf.DUMMYFUNCTION("IFERROR(INDEX(SPLIT(D334, ""_""), 6),"""")"),"")</f>
        <v/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"/>
      <c r="B335" s="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"/>
      <c r="B336" s="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"/>
      <c r="B337" s="2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"/>
      <c r="B338" s="2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"/>
      <c r="B339" s="2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"/>
      <c r="B340" s="2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"/>
      <c r="B341" s="2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"/>
      <c r="B342" s="2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"/>
      <c r="B343" s="2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"/>
      <c r="B344" s="2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"/>
      <c r="B345" s="2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"/>
      <c r="B346" s="2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"/>
      <c r="B347" s="2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"/>
      <c r="B348" s="2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"/>
      <c r="B349" s="2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"/>
      <c r="B350" s="2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"/>
      <c r="B351" s="2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"/>
      <c r="B352" s="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"/>
      <c r="B353" s="2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"/>
      <c r="B354" s="2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"/>
      <c r="B355" s="2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"/>
      <c r="B356" s="2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"/>
      <c r="B357" s="2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"/>
      <c r="B358" s="2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"/>
      <c r="B359" s="2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"/>
      <c r="B360" s="2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"/>
      <c r="B361" s="2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"/>
      <c r="B362" s="2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"/>
      <c r="B363" s="2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"/>
      <c r="B364" s="2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"/>
      <c r="B365" s="2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"/>
      <c r="B366" s="2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"/>
      <c r="B367" s="2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"/>
      <c r="B368" s="2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"/>
      <c r="B369" s="2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"/>
      <c r="B370" s="2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"/>
      <c r="B371" s="2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"/>
      <c r="B372" s="2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"/>
      <c r="B373" s="2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"/>
      <c r="B374" s="2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"/>
      <c r="B375" s="2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"/>
      <c r="B376" s="2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"/>
      <c r="B377" s="2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"/>
      <c r="B378" s="2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"/>
      <c r="B379" s="2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"/>
      <c r="B380" s="2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"/>
      <c r="B381" s="2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"/>
      <c r="B382" s="2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"/>
      <c r="B383" s="2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"/>
      <c r="B384" s="2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"/>
      <c r="B385" s="2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"/>
      <c r="B386" s="2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"/>
      <c r="B387" s="2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"/>
      <c r="B388" s="2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"/>
      <c r="B389" s="2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"/>
      <c r="B390" s="2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"/>
      <c r="B391" s="2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"/>
      <c r="B392" s="2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"/>
      <c r="B393" s="2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"/>
      <c r="B394" s="2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"/>
      <c r="B395" s="2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"/>
      <c r="B396" s="2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"/>
      <c r="B397" s="2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"/>
      <c r="B398" s="2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"/>
      <c r="B399" s="2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"/>
      <c r="B400" s="2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"/>
      <c r="B401" s="2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"/>
      <c r="B402" s="2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"/>
      <c r="B403" s="2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"/>
      <c r="B404" s="2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"/>
      <c r="B405" s="2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"/>
      <c r="B406" s="2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"/>
      <c r="B407" s="2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"/>
      <c r="B408" s="2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"/>
      <c r="B409" s="2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"/>
      <c r="B410" s="2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"/>
      <c r="B411" s="2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"/>
      <c r="B412" s="2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"/>
      <c r="B413" s="2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"/>
      <c r="B414" s="2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"/>
      <c r="B415" s="2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"/>
      <c r="B416" s="2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"/>
      <c r="B417" s="2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"/>
      <c r="B418" s="2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"/>
      <c r="B419" s="2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"/>
      <c r="B420" s="2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"/>
      <c r="B421" s="2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"/>
      <c r="B422" s="2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"/>
      <c r="B423" s="2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"/>
      <c r="B424" s="2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"/>
      <c r="B425" s="2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"/>
      <c r="B426" s="2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"/>
      <c r="B427" s="2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"/>
      <c r="B428" s="2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"/>
      <c r="B429" s="2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"/>
      <c r="B430" s="2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"/>
      <c r="B431" s="2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"/>
      <c r="B432" s="2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"/>
      <c r="B433" s="2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"/>
      <c r="B434" s="2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"/>
      <c r="B435" s="2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"/>
      <c r="B436" s="2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"/>
      <c r="B437" s="2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"/>
      <c r="B438" s="2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"/>
      <c r="B439" s="2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"/>
      <c r="B440" s="2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"/>
      <c r="B441" s="2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"/>
      <c r="B442" s="2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"/>
      <c r="B443" s="2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"/>
      <c r="B444" s="2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"/>
      <c r="B445" s="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"/>
      <c r="B446" s="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"/>
      <c r="B447" s="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"/>
      <c r="B448" s="2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"/>
      <c r="B449" s="2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"/>
      <c r="B450" s="2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"/>
      <c r="B451" s="2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"/>
      <c r="B452" s="2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"/>
      <c r="B453" s="2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"/>
      <c r="B454" s="2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"/>
      <c r="B455" s="2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"/>
      <c r="B456" s="2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"/>
      <c r="B457" s="2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"/>
      <c r="B458" s="2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"/>
      <c r="B459" s="2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"/>
      <c r="B460" s="2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"/>
      <c r="B461" s="2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"/>
      <c r="B462" s="2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"/>
      <c r="B463" s="2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"/>
      <c r="B464" s="2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"/>
      <c r="B465" s="2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"/>
      <c r="B466" s="2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"/>
      <c r="B467" s="2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"/>
      <c r="B468" s="2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"/>
      <c r="B469" s="2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"/>
      <c r="B470" s="2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"/>
      <c r="B471" s="2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"/>
      <c r="B472" s="2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"/>
      <c r="B473" s="2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"/>
      <c r="B474" s="2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"/>
      <c r="B475" s="2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"/>
      <c r="B476" s="2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"/>
      <c r="B477" s="2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"/>
      <c r="B478" s="2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"/>
      <c r="B479" s="2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"/>
      <c r="B480" s="2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"/>
      <c r="B481" s="2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"/>
      <c r="B482" s="2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"/>
      <c r="B483" s="2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"/>
      <c r="B484" s="2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"/>
      <c r="B485" s="2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"/>
      <c r="B486" s="2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"/>
      <c r="B487" s="2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"/>
      <c r="B488" s="2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"/>
      <c r="B489" s="2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"/>
      <c r="B490" s="2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"/>
      <c r="B491" s="2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"/>
      <c r="B492" s="2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"/>
      <c r="B493" s="2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"/>
      <c r="B494" s="2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"/>
      <c r="B495" s="2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"/>
      <c r="B496" s="2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"/>
      <c r="B497" s="2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"/>
      <c r="B498" s="2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"/>
      <c r="B499" s="2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"/>
      <c r="B500" s="2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"/>
      <c r="B501" s="2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"/>
      <c r="B502" s="2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"/>
      <c r="B503" s="2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"/>
      <c r="B504" s="2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"/>
      <c r="B505" s="2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"/>
      <c r="B506" s="2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"/>
      <c r="B507" s="2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"/>
      <c r="B508" s="2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"/>
      <c r="B509" s="2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"/>
      <c r="B510" s="2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"/>
      <c r="B511" s="2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"/>
      <c r="B512" s="2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"/>
      <c r="B513" s="2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"/>
      <c r="B514" s="2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"/>
      <c r="B515" s="2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"/>
      <c r="B516" s="2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"/>
      <c r="B517" s="2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"/>
      <c r="B518" s="2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"/>
      <c r="B519" s="2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"/>
      <c r="B520" s="2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"/>
      <c r="B521" s="2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"/>
      <c r="B522" s="2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"/>
      <c r="B523" s="2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"/>
      <c r="B524" s="2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"/>
      <c r="B525" s="2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"/>
      <c r="B526" s="2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"/>
      <c r="B527" s="2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"/>
      <c r="B528" s="2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"/>
      <c r="B529" s="2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"/>
      <c r="B530" s="2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"/>
      <c r="B531" s="2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"/>
      <c r="B532" s="2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"/>
      <c r="B533" s="2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"/>
      <c r="B534" s="2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"/>
      <c r="B535" s="2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"/>
      <c r="B536" s="2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"/>
      <c r="B537" s="2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"/>
      <c r="B538" s="2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"/>
      <c r="B539" s="2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"/>
      <c r="B540" s="2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"/>
      <c r="B541" s="2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"/>
      <c r="B542" s="2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"/>
      <c r="B543" s="2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"/>
      <c r="B544" s="2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"/>
      <c r="B545" s="2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"/>
      <c r="B546" s="2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"/>
      <c r="B547" s="2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"/>
      <c r="B548" s="2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"/>
      <c r="B549" s="2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"/>
      <c r="B550" s="2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"/>
      <c r="B551" s="2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"/>
      <c r="B552" s="2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"/>
      <c r="B553" s="2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"/>
      <c r="B554" s="2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"/>
      <c r="B555" s="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"/>
      <c r="B556" s="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"/>
      <c r="B557" s="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"/>
      <c r="B558" s="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"/>
      <c r="B559" s="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"/>
      <c r="B560" s="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"/>
      <c r="B561" s="2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"/>
      <c r="B562" s="2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"/>
      <c r="B563" s="2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"/>
      <c r="B564" s="2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"/>
      <c r="B565" s="2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"/>
      <c r="B566" s="2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"/>
      <c r="B567" s="2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"/>
      <c r="B568" s="2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"/>
      <c r="B569" s="2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"/>
      <c r="B570" s="2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"/>
      <c r="B571" s="2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"/>
      <c r="B572" s="2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"/>
      <c r="B573" s="2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"/>
      <c r="B574" s="2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"/>
      <c r="B575" s="2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"/>
      <c r="B576" s="2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"/>
      <c r="B577" s="2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"/>
      <c r="B578" s="2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"/>
      <c r="B579" s="2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"/>
      <c r="B580" s="2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"/>
      <c r="B581" s="2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"/>
      <c r="B582" s="2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"/>
      <c r="B583" s="2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"/>
      <c r="B584" s="2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"/>
      <c r="B585" s="2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"/>
      <c r="B586" s="2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"/>
      <c r="B587" s="2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"/>
      <c r="B588" s="2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"/>
      <c r="B589" s="2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"/>
      <c r="B590" s="2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"/>
      <c r="B591" s="2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"/>
      <c r="B592" s="2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"/>
      <c r="B593" s="2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"/>
      <c r="B594" s="2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"/>
      <c r="B595" s="2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"/>
      <c r="B596" s="2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"/>
      <c r="B597" s="2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"/>
      <c r="B598" s="2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"/>
      <c r="B599" s="2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"/>
      <c r="B600" s="2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"/>
      <c r="B601" s="2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"/>
      <c r="B602" s="2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"/>
      <c r="B603" s="2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"/>
      <c r="B604" s="2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"/>
      <c r="B605" s="2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"/>
      <c r="B606" s="2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"/>
      <c r="B607" s="2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"/>
      <c r="B608" s="2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"/>
      <c r="B609" s="2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"/>
      <c r="B610" s="2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"/>
      <c r="B611" s="2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"/>
      <c r="B612" s="2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"/>
      <c r="B613" s="2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"/>
      <c r="B614" s="2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"/>
      <c r="B615" s="2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"/>
      <c r="B616" s="2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"/>
      <c r="B617" s="2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"/>
      <c r="B618" s="2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"/>
      <c r="B619" s="2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"/>
      <c r="B620" s="2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"/>
      <c r="B621" s="2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"/>
      <c r="B622" s="2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"/>
      <c r="B623" s="2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"/>
      <c r="B624" s="2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"/>
      <c r="B625" s="2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"/>
      <c r="B626" s="2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"/>
      <c r="B627" s="2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"/>
      <c r="B628" s="2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"/>
      <c r="B629" s="2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"/>
      <c r="B630" s="2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"/>
      <c r="B631" s="2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"/>
      <c r="B632" s="2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"/>
      <c r="B633" s="2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"/>
      <c r="B634" s="2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"/>
      <c r="B635" s="2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"/>
      <c r="B636" s="2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"/>
      <c r="B637" s="2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"/>
      <c r="B638" s="2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"/>
      <c r="B639" s="2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"/>
      <c r="B640" s="2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"/>
      <c r="B641" s="2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"/>
      <c r="B642" s="2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"/>
      <c r="B643" s="2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"/>
      <c r="B644" s="2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"/>
      <c r="B645" s="2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"/>
      <c r="B646" s="2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"/>
      <c r="B647" s="2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"/>
      <c r="B648" s="2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"/>
      <c r="B649" s="2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"/>
      <c r="B650" s="2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"/>
      <c r="B651" s="2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"/>
      <c r="B652" s="2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"/>
      <c r="B653" s="2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"/>
      <c r="B654" s="2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"/>
      <c r="B655" s="2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"/>
      <c r="B656" s="2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"/>
      <c r="B657" s="2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"/>
      <c r="B658" s="2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"/>
      <c r="B659" s="2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"/>
      <c r="B660" s="2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"/>
      <c r="B661" s="2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"/>
      <c r="B662" s="2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"/>
      <c r="B663" s="2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"/>
      <c r="B664" s="2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"/>
      <c r="B665" s="2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"/>
      <c r="B666" s="2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"/>
      <c r="B667" s="2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"/>
      <c r="B668" s="2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"/>
      <c r="B669" s="2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"/>
      <c r="B670" s="2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"/>
      <c r="B671" s="2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"/>
      <c r="B672" s="2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"/>
      <c r="B673" s="2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"/>
      <c r="B674" s="2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"/>
      <c r="B675" s="2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"/>
      <c r="B676" s="2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"/>
      <c r="B677" s="2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"/>
      <c r="B678" s="2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"/>
      <c r="B679" s="2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"/>
      <c r="B680" s="2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"/>
      <c r="B681" s="2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"/>
      <c r="B682" s="2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"/>
      <c r="B683" s="2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"/>
      <c r="B684" s="2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"/>
      <c r="B685" s="2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"/>
      <c r="B686" s="2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"/>
      <c r="B687" s="2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"/>
      <c r="B688" s="2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"/>
      <c r="B689" s="2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"/>
      <c r="B690" s="2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"/>
      <c r="B691" s="2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"/>
      <c r="B692" s="2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"/>
      <c r="B693" s="2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"/>
      <c r="B694" s="2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"/>
      <c r="B695" s="2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"/>
      <c r="B696" s="2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"/>
      <c r="B697" s="2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"/>
      <c r="B698" s="2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"/>
      <c r="B699" s="2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"/>
      <c r="B700" s="2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"/>
      <c r="B701" s="2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"/>
      <c r="B702" s="2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"/>
      <c r="B703" s="2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"/>
      <c r="B704" s="2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"/>
      <c r="B705" s="2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"/>
      <c r="B706" s="2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"/>
      <c r="B707" s="2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"/>
      <c r="B708" s="2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"/>
      <c r="B709" s="2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"/>
      <c r="B710" s="2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"/>
      <c r="B711" s="2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"/>
      <c r="B712" s="2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"/>
      <c r="B713" s="2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"/>
      <c r="B714" s="2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"/>
      <c r="B715" s="2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"/>
      <c r="B716" s="2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"/>
      <c r="B717" s="2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"/>
      <c r="B718" s="2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"/>
      <c r="B719" s="2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"/>
      <c r="B720" s="2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"/>
      <c r="B721" s="2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"/>
      <c r="B722" s="2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"/>
      <c r="B723" s="2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"/>
      <c r="B724" s="2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"/>
      <c r="B725" s="2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"/>
      <c r="B726" s="2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"/>
      <c r="B727" s="2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"/>
      <c r="B728" s="2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"/>
      <c r="B729" s="2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"/>
      <c r="B730" s="2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"/>
      <c r="B731" s="2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"/>
      <c r="B732" s="2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"/>
      <c r="B733" s="2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"/>
      <c r="B734" s="2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"/>
      <c r="B735" s="2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"/>
      <c r="B736" s="2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"/>
      <c r="B737" s="2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"/>
      <c r="B738" s="2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"/>
      <c r="B739" s="2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"/>
      <c r="B740" s="2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"/>
      <c r="B741" s="2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"/>
      <c r="B742" s="2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"/>
      <c r="B743" s="2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"/>
      <c r="B744" s="2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"/>
      <c r="B745" s="2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"/>
      <c r="B746" s="2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"/>
      <c r="B747" s="2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"/>
      <c r="B748" s="2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"/>
      <c r="B749" s="2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"/>
      <c r="B750" s="2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"/>
      <c r="B751" s="2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"/>
      <c r="B752" s="2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"/>
      <c r="B753" s="2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"/>
      <c r="B754" s="2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"/>
      <c r="B755" s="2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"/>
      <c r="B756" s="2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"/>
      <c r="B757" s="2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"/>
      <c r="B758" s="2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"/>
      <c r="B759" s="2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"/>
      <c r="B760" s="2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"/>
      <c r="B761" s="2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"/>
      <c r="B762" s="2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"/>
      <c r="B763" s="2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"/>
      <c r="B764" s="2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"/>
      <c r="B765" s="2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"/>
      <c r="B766" s="2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"/>
      <c r="B767" s="2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"/>
      <c r="B768" s="2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"/>
      <c r="B769" s="2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"/>
      <c r="B770" s="2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"/>
      <c r="B771" s="2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"/>
      <c r="B772" s="2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"/>
      <c r="B773" s="2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"/>
      <c r="B774" s="2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"/>
      <c r="B775" s="2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"/>
      <c r="B776" s="2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"/>
      <c r="B777" s="2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"/>
      <c r="B778" s="2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"/>
      <c r="B779" s="2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"/>
      <c r="B780" s="2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"/>
      <c r="B781" s="2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"/>
      <c r="B782" s="2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"/>
      <c r="B783" s="2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"/>
      <c r="B784" s="2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"/>
      <c r="B785" s="2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"/>
      <c r="B786" s="2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"/>
      <c r="B787" s="2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"/>
      <c r="B788" s="2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"/>
      <c r="B789" s="2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"/>
      <c r="B790" s="2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"/>
      <c r="B791" s="2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"/>
      <c r="B792" s="2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"/>
      <c r="B793" s="2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"/>
      <c r="B794" s="2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"/>
      <c r="B795" s="2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"/>
      <c r="B796" s="2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"/>
      <c r="B797" s="2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"/>
      <c r="B798" s="2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"/>
      <c r="B799" s="2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"/>
      <c r="B800" s="2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"/>
      <c r="B801" s="2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"/>
      <c r="B802" s="2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"/>
      <c r="B803" s="2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"/>
      <c r="B804" s="2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"/>
      <c r="B805" s="2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"/>
      <c r="B806" s="2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"/>
      <c r="B807" s="2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"/>
      <c r="B808" s="2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"/>
      <c r="B809" s="2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"/>
      <c r="B810" s="2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"/>
      <c r="B811" s="2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"/>
      <c r="B812" s="2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"/>
      <c r="B813" s="2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"/>
      <c r="B814" s="2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"/>
      <c r="B815" s="2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"/>
      <c r="B816" s="2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"/>
      <c r="B817" s="2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"/>
      <c r="B818" s="2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"/>
      <c r="B819" s="2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"/>
      <c r="B820" s="2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"/>
      <c r="B821" s="2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"/>
      <c r="B822" s="2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"/>
      <c r="B823" s="2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"/>
      <c r="B824" s="2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"/>
      <c r="B825" s="2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"/>
      <c r="B826" s="2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"/>
      <c r="B827" s="2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"/>
      <c r="B828" s="2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"/>
      <c r="B829" s="2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"/>
      <c r="B830" s="2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"/>
      <c r="B831" s="2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"/>
      <c r="B832" s="2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"/>
      <c r="B833" s="2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"/>
      <c r="B834" s="2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"/>
      <c r="B835" s="2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"/>
      <c r="B836" s="2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"/>
      <c r="B837" s="2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"/>
      <c r="B838" s="2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"/>
      <c r="B839" s="2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"/>
      <c r="B840" s="2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"/>
      <c r="B841" s="2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"/>
      <c r="B842" s="2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"/>
      <c r="B843" s="2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"/>
      <c r="B844" s="2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"/>
      <c r="B845" s="2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"/>
      <c r="B846" s="2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"/>
      <c r="B847" s="2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"/>
      <c r="B848" s="2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"/>
      <c r="B849" s="2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"/>
      <c r="B850" s="2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"/>
      <c r="B851" s="2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"/>
      <c r="B852" s="2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"/>
      <c r="B853" s="2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"/>
      <c r="B854" s="2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"/>
      <c r="B855" s="2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"/>
      <c r="B856" s="2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"/>
      <c r="B857" s="2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"/>
      <c r="B858" s="2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"/>
      <c r="B859" s="2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"/>
      <c r="B860" s="2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"/>
      <c r="B861" s="2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"/>
      <c r="B862" s="2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"/>
      <c r="B863" s="2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"/>
      <c r="B864" s="2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"/>
      <c r="B865" s="2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"/>
      <c r="B866" s="2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"/>
      <c r="B867" s="2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"/>
      <c r="B868" s="2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"/>
      <c r="B869" s="2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"/>
      <c r="B870" s="2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"/>
      <c r="B871" s="2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"/>
      <c r="B872" s="2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"/>
      <c r="B873" s="2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"/>
      <c r="B874" s="2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"/>
      <c r="B875" s="2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"/>
      <c r="B876" s="2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"/>
      <c r="B877" s="2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"/>
      <c r="B878" s="2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"/>
      <c r="B879" s="2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"/>
      <c r="B880" s="2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"/>
      <c r="B881" s="2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"/>
      <c r="B882" s="2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"/>
      <c r="B883" s="2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"/>
      <c r="B884" s="2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"/>
      <c r="B885" s="2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"/>
      <c r="B886" s="2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"/>
      <c r="B887" s="2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"/>
      <c r="B888" s="2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"/>
      <c r="B889" s="2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"/>
      <c r="B890" s="2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"/>
      <c r="B891" s="2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"/>
      <c r="B892" s="2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"/>
      <c r="B893" s="2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"/>
      <c r="B894" s="2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"/>
      <c r="B895" s="2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"/>
      <c r="B896" s="2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"/>
      <c r="B897" s="2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"/>
      <c r="B898" s="2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"/>
      <c r="B899" s="2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"/>
      <c r="B900" s="2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"/>
      <c r="B901" s="2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"/>
      <c r="B902" s="2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"/>
      <c r="B903" s="2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"/>
      <c r="B904" s="2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"/>
      <c r="B905" s="2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"/>
      <c r="B906" s="2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"/>
      <c r="B907" s="2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"/>
      <c r="B908" s="2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"/>
      <c r="B909" s="2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"/>
      <c r="B910" s="2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"/>
      <c r="B911" s="2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"/>
      <c r="B912" s="2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"/>
      <c r="B913" s="2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"/>
      <c r="B914" s="2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"/>
      <c r="B915" s="2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"/>
      <c r="B916" s="2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"/>
      <c r="B917" s="2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"/>
      <c r="B918" s="2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"/>
      <c r="B919" s="2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"/>
      <c r="B920" s="2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"/>
      <c r="B921" s="2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"/>
      <c r="B922" s="2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"/>
      <c r="B923" s="2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"/>
      <c r="B924" s="2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"/>
      <c r="B925" s="2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"/>
      <c r="B926" s="2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"/>
      <c r="B927" s="2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"/>
      <c r="B928" s="2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"/>
      <c r="B929" s="2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"/>
      <c r="B930" s="2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"/>
      <c r="B931" s="2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"/>
      <c r="B932" s="2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"/>
      <c r="B933" s="2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"/>
      <c r="B934" s="2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"/>
      <c r="B935" s="2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"/>
      <c r="B936" s="2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"/>
      <c r="B937" s="2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"/>
      <c r="B938" s="2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"/>
      <c r="B939" s="2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"/>
      <c r="B940" s="2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"/>
      <c r="B941" s="2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"/>
      <c r="B942" s="2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"/>
      <c r="B943" s="2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"/>
      <c r="B944" s="2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"/>
      <c r="B945" s="2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"/>
      <c r="B946" s="2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"/>
      <c r="B947" s="2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"/>
      <c r="B948" s="2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"/>
      <c r="B949" s="2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"/>
      <c r="B950" s="2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"/>
      <c r="B951" s="2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"/>
      <c r="B952" s="2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"/>
      <c r="B953" s="2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"/>
      <c r="B954" s="2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"/>
      <c r="B955" s="2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"/>
      <c r="B956" s="2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"/>
      <c r="B957" s="2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"/>
      <c r="B958" s="2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"/>
      <c r="B959" s="2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"/>
      <c r="B960" s="2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"/>
      <c r="B961" s="2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"/>
      <c r="B962" s="2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"/>
      <c r="B963" s="2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"/>
      <c r="B964" s="2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"/>
      <c r="B965" s="2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"/>
      <c r="B966" s="2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"/>
      <c r="B967" s="2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"/>
      <c r="B968" s="2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"/>
      <c r="B969" s="2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"/>
      <c r="B970" s="2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"/>
      <c r="B971" s="2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"/>
      <c r="B972" s="2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"/>
      <c r="B973" s="2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"/>
      <c r="B974" s="2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"/>
      <c r="B975" s="2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"/>
      <c r="B976" s="2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"/>
      <c r="B977" s="2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"/>
      <c r="B978" s="2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"/>
      <c r="B979" s="2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"/>
      <c r="B980" s="2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"/>
      <c r="B981" s="2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"/>
      <c r="B982" s="2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"/>
      <c r="B983" s="2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"/>
      <c r="B984" s="2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"/>
      <c r="B985" s="2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"/>
      <c r="B986" s="2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"/>
      <c r="B987" s="2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"/>
      <c r="B988" s="2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"/>
      <c r="B989" s="2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"/>
      <c r="B990" s="2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"/>
      <c r="B991" s="2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"/>
      <c r="B992" s="2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"/>
      <c r="B993" s="2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"/>
      <c r="B994" s="2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"/>
      <c r="B995" s="2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"/>
      <c r="B996" s="2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"/>
      <c r="B997" s="2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"/>
      <c r="B998" s="2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"/>
      <c r="B999" s="2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"/>
      <c r="B1000" s="2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H$227"/>
  <printOptions gridLines="1" horizontalCentered="1"/>
  <pageMargins bottom="0.75" footer="0.0" header="0.0" left="0.7" right="0.7" top="0.75"/>
  <pageSetup fitToHeight="0" paperSize="9" orientation="landscape" pageOrder="overThenDown"/>
  <drawing r:id="rId2"/>
  <legacyDrawing r:id="rId3"/>
</worksheet>
</file>